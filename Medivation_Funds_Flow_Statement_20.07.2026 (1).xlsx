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2C4A490-7640-4063-8010-01F50E9ABA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ummary Sheet" sheetId="6" r:id="rId1"/>
    <sheet name="A" sheetId="23" r:id="rId2"/>
    <sheet name="B" sheetId="24" r:id="rId3"/>
    <sheet name="C" sheetId="27" r:id="rId4"/>
    <sheet name="D" sheetId="25" r:id="rId5"/>
    <sheet name="E" sheetId="31" r:id="rId6"/>
    <sheet name="F" sheetId="32" r:id="rId7"/>
    <sheet name="N" sheetId="37" r:id="rId8"/>
    <sheet name="G" sheetId="33" r:id="rId9"/>
    <sheet name="H" sheetId="18" r:id="rId10"/>
    <sheet name="H1" sheetId="19" r:id="rId11"/>
    <sheet name="I" sheetId="20" r:id="rId12"/>
    <sheet name="I1" sheetId="21" r:id="rId13"/>
    <sheet name="J" sheetId="22" r:id="rId14"/>
    <sheet name="K" sheetId="30" r:id="rId15"/>
    <sheet name="L" sheetId="10" r:id="rId16"/>
    <sheet name="M" sheetId="8" r:id="rId17"/>
    <sheet name="F1(PARTY ADVANCE)" sheetId="11" state="hidden" r:id="rId18"/>
  </sheets>
  <definedNames>
    <definedName name="_xlnm._FilterDatabase" localSheetId="1" hidden="1">A!$B$4:$H$19</definedName>
    <definedName name="_xlnm._FilterDatabase" localSheetId="2" hidden="1">B!$B$4:$I$4</definedName>
    <definedName name="_xlnm._FilterDatabase" localSheetId="3" hidden="1">F!$B$5:$E$147</definedName>
    <definedName name="_xlnm._FilterDatabase" localSheetId="4" hidden="1">D!#REF!</definedName>
    <definedName name="_xlnm._FilterDatabase" localSheetId="5" hidden="1">E!$B$3:$E$9</definedName>
    <definedName name="_xlnm._FilterDatabase" localSheetId="6" hidden="1">F!$B$44:$E$138</definedName>
    <definedName name="_xlnm._FilterDatabase" localSheetId="17" hidden="1">'F1(PARTY ADVANCE)'!$A$3:$C$40</definedName>
    <definedName name="_xlnm._FilterDatabase" localSheetId="9" hidden="1">H!$B$63:$I$180</definedName>
    <definedName name="_xlnm._FilterDatabase" localSheetId="10" hidden="1">'H1'!#REF!</definedName>
    <definedName name="_xlnm._FilterDatabase" localSheetId="12" hidden="1">'I1'!$C$24:$D$84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6" i="6" l="1"/>
  <c r="C62" i="19"/>
  <c r="D12" i="6"/>
  <c r="E40" i="25"/>
  <c r="E20" i="37"/>
  <c r="D15" i="6" s="1"/>
  <c r="D13" i="6"/>
  <c r="D11" i="6"/>
  <c r="D14" i="6"/>
  <c r="E152" i="32"/>
  <c r="D10" i="6"/>
  <c r="E223" i="24"/>
  <c r="D9" i="6"/>
  <c r="C12" i="33"/>
  <c r="C4" i="33"/>
  <c r="D23" i="6"/>
  <c r="D22" i="6"/>
  <c r="C57" i="18"/>
  <c r="D28" i="6"/>
  <c r="C101" i="20"/>
  <c r="C89" i="20"/>
  <c r="C81" i="20"/>
  <c r="C72" i="20"/>
  <c r="C48" i="20"/>
  <c r="C43" i="20"/>
  <c r="C39" i="20"/>
  <c r="C28" i="20"/>
  <c r="C20" i="20"/>
  <c r="C13" i="20"/>
  <c r="C5" i="20"/>
  <c r="D43" i="6"/>
  <c r="F158" i="10"/>
  <c r="E158" i="10"/>
  <c r="G16" i="8"/>
  <c r="C91" i="21"/>
  <c r="C86" i="21"/>
  <c r="C19" i="33" l="1"/>
  <c r="D34" i="6" s="1"/>
  <c r="C143" i="20"/>
  <c r="D18" i="6" l="1"/>
  <c r="G15" i="8"/>
  <c r="F15" i="8"/>
  <c r="G28" i="6"/>
  <c r="D38" i="6"/>
  <c r="E21" i="23"/>
  <c r="E14" i="31"/>
  <c r="E138" i="32"/>
  <c r="F209" i="10"/>
  <c r="E209" i="10"/>
  <c r="C5" i="30" l="1"/>
  <c r="D17" i="22"/>
  <c r="D30" i="6" s="1"/>
  <c r="E146" i="32" l="1"/>
  <c r="D6" i="22"/>
  <c r="D39" i="6" s="1"/>
  <c r="F211" i="10"/>
  <c r="L34" i="6"/>
  <c r="L31" i="6"/>
  <c r="K33" i="6"/>
  <c r="K41" i="6"/>
  <c r="M51" i="6"/>
  <c r="G34" i="6"/>
  <c r="E164" i="32"/>
  <c r="E41" i="32"/>
  <c r="E14" i="32"/>
  <c r="E11" i="27"/>
  <c r="E167" i="32" l="1"/>
  <c r="O51" i="6"/>
  <c r="O55" i="6" s="1"/>
  <c r="F45" i="10"/>
  <c r="L51" i="6" l="1"/>
  <c r="L53" i="6"/>
  <c r="L55" i="6" s="1"/>
  <c r="C78" i="21"/>
  <c r="C71" i="21"/>
  <c r="C44" i="21"/>
  <c r="C34" i="21"/>
  <c r="C31" i="21"/>
  <c r="C27" i="21"/>
  <c r="C20" i="21"/>
  <c r="C14" i="21"/>
  <c r="C10" i="21"/>
  <c r="C7" i="21"/>
  <c r="C2" i="21"/>
  <c r="C83" i="21"/>
  <c r="C94" i="21" l="1"/>
  <c r="D29" i="6"/>
  <c r="B40" i="11" l="1"/>
  <c r="E56" i="10"/>
  <c r="F56" i="10"/>
  <c r="E45" i="10"/>
  <c r="F26" i="10"/>
  <c r="E26" i="10"/>
  <c r="E210" i="10" l="1"/>
  <c r="E57" i="10"/>
  <c r="G12" i="6" s="1"/>
  <c r="E46" i="10"/>
  <c r="G10" i="6" s="1"/>
  <c r="E27" i="10"/>
  <c r="G9" i="6" s="1"/>
  <c r="E159" i="10"/>
  <c r="G11" i="6" s="1"/>
  <c r="G22" i="6" l="1"/>
  <c r="E211" i="10"/>
  <c r="G48" i="6"/>
  <c r="G52" i="6" l="1"/>
  <c r="D48" i="6"/>
  <c r="D50" i="6" s="1"/>
  <c r="D52" i="6" l="1"/>
</calcChain>
</file>

<file path=xl/sharedStrings.xml><?xml version="1.0" encoding="utf-8"?>
<sst xmlns="http://schemas.openxmlformats.org/spreadsheetml/2006/main" count="2051" uniqueCount="594">
  <si>
    <t>Medivation Bio Private Limited</t>
  </si>
  <si>
    <t>Particulars</t>
  </si>
  <si>
    <t>Amount</t>
  </si>
  <si>
    <t>Date</t>
  </si>
  <si>
    <t>Nature</t>
  </si>
  <si>
    <t>Air Conditioner</t>
  </si>
  <si>
    <t>Total</t>
  </si>
  <si>
    <t>Airwaves Project Private Limited</t>
  </si>
  <si>
    <t>Rishil Marble</t>
  </si>
  <si>
    <t>Delhi Building Material Corporation</t>
  </si>
  <si>
    <t>Kotak Mahindra Bank A/c 8545603885</t>
  </si>
  <si>
    <t>HDFC 50200098257342</t>
  </si>
  <si>
    <t>Sources of Funds</t>
  </si>
  <si>
    <t>Utilization of Funds</t>
  </si>
  <si>
    <t xml:space="preserve">Promoters </t>
  </si>
  <si>
    <t>-------Parv Goyal</t>
  </si>
  <si>
    <t>------Ankit Bansal</t>
  </si>
  <si>
    <t>------Aathesh Ventures Pvt Ltd</t>
  </si>
  <si>
    <t>Capital Expenditure</t>
  </si>
  <si>
    <t>Operating Expenditure</t>
  </si>
  <si>
    <t>Business Promotion</t>
  </si>
  <si>
    <t>LinkedIn</t>
  </si>
  <si>
    <t>Balaji  Traders</t>
  </si>
  <si>
    <t>Consumable Items</t>
  </si>
  <si>
    <t>Lal Sai Steel</t>
  </si>
  <si>
    <t>Niva Bupa Health Insurance</t>
  </si>
  <si>
    <t>AS Enterprise</t>
  </si>
  <si>
    <t>Ashish Enterprises</t>
  </si>
  <si>
    <t>Balay Safety Solutions</t>
  </si>
  <si>
    <t>BlockWise Enginnering LLC</t>
  </si>
  <si>
    <t>BW  TEC  AG</t>
  </si>
  <si>
    <t>Maa Constructions</t>
  </si>
  <si>
    <t>Machine Solutions INC</t>
  </si>
  <si>
    <t>Pentagon Assembly Automation Pvt Ltd</t>
  </si>
  <si>
    <t>Safeway Technology</t>
  </si>
  <si>
    <t>Balance Available in Bank</t>
  </si>
  <si>
    <t>-----Balance in HDFC A/c - 7342</t>
  </si>
  <si>
    <t>Ref</t>
  </si>
  <si>
    <t>Loan/WC from  Bank</t>
  </si>
  <si>
    <t>Vch Type</t>
  </si>
  <si>
    <t>Vch No.</t>
  </si>
  <si>
    <t>Debit</t>
  </si>
  <si>
    <t>Credit</t>
  </si>
  <si>
    <t>Payment</t>
  </si>
  <si>
    <t>Lalotra Sales Corporation</t>
  </si>
  <si>
    <t>List of Vendors/ Expeses paid through Cash but no cash withdrawl from Bank</t>
  </si>
  <si>
    <t>F</t>
  </si>
  <si>
    <t>A</t>
  </si>
  <si>
    <t>C</t>
  </si>
  <si>
    <t>H</t>
  </si>
  <si>
    <t>Gross Total</t>
  </si>
  <si>
    <t>Remarks</t>
  </si>
  <si>
    <t>D</t>
  </si>
  <si>
    <t xml:space="preserve">Suspense Entries </t>
  </si>
  <si>
    <t>JVG Joinery  Work</t>
  </si>
  <si>
    <t>N.T.ELECTRICALS</t>
  </si>
  <si>
    <t>AGGARWAL AGENCIES</t>
  </si>
  <si>
    <t>ELEGANT COMMUNICATIONS</t>
  </si>
  <si>
    <t>N T ELECRICALS</t>
  </si>
  <si>
    <t xml:space="preserve">RADIAINT INDUSTRIES </t>
  </si>
  <si>
    <t>HDFC BANK  99999999999965</t>
  </si>
  <si>
    <t>HDFC  WC TERM LOAN</t>
  </si>
  <si>
    <t>Google Cloud</t>
  </si>
  <si>
    <t>RESONETICS  MEDELEC</t>
  </si>
  <si>
    <t>Rising  Sun  Enterprises</t>
  </si>
  <si>
    <t>Shibaura  Machine  India  Pvt Ltd</t>
  </si>
  <si>
    <t>STERILE SAFEQUIP AND CHEMICALS LLP</t>
  </si>
  <si>
    <t>ThermoLab Scientific  Equipments Pvt Ltd</t>
  </si>
  <si>
    <t>MAGNUS KLEANTECH</t>
  </si>
  <si>
    <t>Friends  Medicure  Pvt Ltd</t>
  </si>
  <si>
    <t>Tempcon Air Systems</t>
  </si>
  <si>
    <t>Out of Pocket Expenses</t>
  </si>
  <si>
    <t>Extrumed  Inc  Dba Vesta</t>
  </si>
  <si>
    <t>Vesta  Thermoplastics  Divison</t>
  </si>
  <si>
    <t>Pass Card Co Ltd</t>
  </si>
  <si>
    <t>Maxwell Exports</t>
  </si>
  <si>
    <t>Narola  Machines</t>
  </si>
  <si>
    <t>RAJ  ENTERPRISES</t>
  </si>
  <si>
    <t>Spento  Engineering</t>
  </si>
  <si>
    <t>The New India Assurance Co Ltd</t>
  </si>
  <si>
    <t>Controller Drug and food Control</t>
  </si>
  <si>
    <t xml:space="preserve">Kavita Gupta </t>
  </si>
  <si>
    <t>I</t>
  </si>
  <si>
    <t>Receipt</t>
  </si>
  <si>
    <t>Closing Balance</t>
  </si>
  <si>
    <t>Opening Balance</t>
  </si>
  <si>
    <t>Journal</t>
  </si>
  <si>
    <t>Buildtech  Enterprises</t>
  </si>
  <si>
    <t>Office Expense Non GST</t>
  </si>
  <si>
    <t>TRAVELLING EXPENCE COMMISSION GST 18%</t>
  </si>
  <si>
    <t>Parv Cardit Card</t>
  </si>
  <si>
    <t>ZEUS INDUSTRIAL PRODUTS</t>
  </si>
  <si>
    <t>PCI Pest Control Private Limited</t>
  </si>
  <si>
    <t>Samarth  Electronices</t>
  </si>
  <si>
    <t>Row Labels</t>
  </si>
  <si>
    <t>Grand Total</t>
  </si>
  <si>
    <t>Sum of Amount</t>
  </si>
  <si>
    <t>------HDFC TERM LOAN</t>
  </si>
  <si>
    <t>------Divya Chadha</t>
  </si>
  <si>
    <t>Trademark and copyright (Divya Mam)</t>
  </si>
  <si>
    <t>Bills received</t>
  </si>
  <si>
    <t>to be expense off</t>
  </si>
  <si>
    <t>bill received</t>
  </si>
  <si>
    <t>to be adjusted against bills</t>
  </si>
  <si>
    <t>Parking Charges</t>
  </si>
  <si>
    <t>Unreconciled Entries</t>
  </si>
  <si>
    <t>M/S Indian Builder</t>
  </si>
  <si>
    <t>-----Balance in HDFC A/c- 99965</t>
  </si>
  <si>
    <t xml:space="preserve">Raw Material </t>
  </si>
  <si>
    <t>AS . Enterprises</t>
  </si>
  <si>
    <t>Avinashi Engineering</t>
  </si>
  <si>
    <t>Bahu  Electronics</t>
  </si>
  <si>
    <t>Benchmark Plastics Pvt Ltd</t>
  </si>
  <si>
    <t>Captiva Energy Solutions Pvt Ltd</t>
  </si>
  <si>
    <t>Daily Needs</t>
  </si>
  <si>
    <t>Davinder Iron &amp; Steel Co.</t>
  </si>
  <si>
    <t>Dawntech Electronics Private Limited</t>
  </si>
  <si>
    <t>Delhi Builders</t>
  </si>
  <si>
    <t>Director TTC Wing-Electrical Inspection Department</t>
  </si>
  <si>
    <t>GDI Engineers India ( Regd )</t>
  </si>
  <si>
    <t>Glopro Industries LLP</t>
  </si>
  <si>
    <t>J &amp; K  SIDCO LTD 250</t>
  </si>
  <si>
    <t>Kone Elevator India Pvt Ltd</t>
  </si>
  <si>
    <t>Maha Lakshmi Motors</t>
  </si>
  <si>
    <t>M B automobiles</t>
  </si>
  <si>
    <t>MR WINDOW</t>
  </si>
  <si>
    <t>Multitech Analytical</t>
  </si>
  <si>
    <t>NEW LOOOK FURNITURE INDUSTRY</t>
  </si>
  <si>
    <t>PRECISION SYSTEMS</t>
  </si>
  <si>
    <t>RS CUBE PROJECTS PRIVATE LIMITED</t>
  </si>
  <si>
    <t>S4J Manufacturing Services, Inc.</t>
  </si>
  <si>
    <t>Shanghai INT Medical Instruments Co., Ltd</t>
  </si>
  <si>
    <t>Snaphire IT Services</t>
  </si>
  <si>
    <t>Star Tank</t>
  </si>
  <si>
    <t>Varinder Kumar Raman Kumar</t>
  </si>
  <si>
    <t>Vedant Tech Services</t>
  </si>
  <si>
    <t>VE Quality Instrumentation Private Limited</t>
  </si>
  <si>
    <t xml:space="preserve">Total </t>
  </si>
  <si>
    <t xml:space="preserve">Amount </t>
  </si>
  <si>
    <t>Administration</t>
  </si>
  <si>
    <t>ADMINISTRATION CHARGES</t>
  </si>
  <si>
    <t>Printing and Stationery</t>
  </si>
  <si>
    <t>Website Maintenance</t>
  </si>
  <si>
    <t>MARSHALL EMBERTON || MS-EMBRN-2</t>
  </si>
  <si>
    <t>MARSHAL WILLEN BLK-BRS</t>
  </si>
  <si>
    <t>Consumable Itmes 18%</t>
  </si>
  <si>
    <t>Bank Charges</t>
  </si>
  <si>
    <t>Forex Gain/Loss</t>
  </si>
  <si>
    <t>Interest on Late TDS</t>
  </si>
  <si>
    <t>Interest on Term Loan</t>
  </si>
  <si>
    <t>Pre Emi Interest Charge</t>
  </si>
  <si>
    <t>Bonded Storage</t>
  </si>
  <si>
    <t>CLEARANCE CHARGES</t>
  </si>
  <si>
    <t>Freight Inward Charges</t>
  </si>
  <si>
    <t>Freight Outward Charges</t>
  </si>
  <si>
    <t>Transportation  Charges</t>
  </si>
  <si>
    <t>APPLICATION CHARGERS</t>
  </si>
  <si>
    <t>Electricity Expense</t>
  </si>
  <si>
    <t>GOOGLE WORKSPACE</t>
  </si>
  <si>
    <t>Hotel Stay Charges</t>
  </si>
  <si>
    <t>Office Expenses</t>
  </si>
  <si>
    <t>Out of Pocket</t>
  </si>
  <si>
    <t>Rent Jummu Guest  House</t>
  </si>
  <si>
    <t>Security Guard  Expenses</t>
  </si>
  <si>
    <t>Service Fee @18%</t>
  </si>
  <si>
    <t>STAFF CONVEYANCE</t>
  </si>
  <si>
    <t>STAFF Welfare</t>
  </si>
  <si>
    <t>Vehicle  Service</t>
  </si>
  <si>
    <t>Accounting Services Fee</t>
  </si>
  <si>
    <t>Content  Writer  Professional Fee</t>
  </si>
  <si>
    <t>Dsc Charges</t>
  </si>
  <si>
    <t>LEI Registration Fee</t>
  </si>
  <si>
    <t>Professional Fee</t>
  </si>
  <si>
    <t>Professional Fee GST</t>
  </si>
  <si>
    <t>CUSTOMS DUTY</t>
  </si>
  <si>
    <t>GST Late Fee</t>
  </si>
  <si>
    <t>HEALTH  CESS</t>
  </si>
  <si>
    <t>Pollution Control Committee</t>
  </si>
  <si>
    <t>Stamp Paper Charges</t>
  </si>
  <si>
    <t>Statutory Fees</t>
  </si>
  <si>
    <t>SW SURCHARGE</t>
  </si>
  <si>
    <t>Travelling Expenses (MMT)</t>
  </si>
  <si>
    <t>Amazon Prime Membership</t>
  </si>
  <si>
    <t>Decoration Items</t>
  </si>
  <si>
    <t>Insurance ( In Transit )</t>
  </si>
  <si>
    <t>Market Research</t>
  </si>
  <si>
    <t>Medical Items</t>
  </si>
  <si>
    <t>Plant Pest Control Services</t>
  </si>
  <si>
    <t>TELEPHONE EXPNESE</t>
  </si>
  <si>
    <t>Office Expence 5%</t>
  </si>
  <si>
    <t>Office Expesne -12%</t>
  </si>
  <si>
    <t>Office Expesne -GST</t>
  </si>
  <si>
    <t>Travelling Expenses</t>
  </si>
  <si>
    <t>TRAVELLING EXPENSE</t>
  </si>
  <si>
    <t>TRAVELLING EXPENSE- Gst  5%</t>
  </si>
  <si>
    <t>TRAVELLING EXPESNE COMM.</t>
  </si>
  <si>
    <t>TRAVELLING EXPESNE- Gst 18%</t>
  </si>
  <si>
    <t>VISA EXPENSES</t>
  </si>
  <si>
    <t>Activation Charges</t>
  </si>
  <si>
    <t>Adoptor</t>
  </si>
  <si>
    <t>Air Freight</t>
  </si>
  <si>
    <t>Amazon Prime (Yearly Membership)</t>
  </si>
  <si>
    <t>Application  Charges</t>
  </si>
  <si>
    <t>Application  Charges -Gst</t>
  </si>
  <si>
    <t>CERTIFICATION  CHARGES</t>
  </si>
  <si>
    <t>Computer Mouse</t>
  </si>
  <si>
    <t>Consultant Charges</t>
  </si>
  <si>
    <t>CONSUMABLE  12%</t>
  </si>
  <si>
    <t>FREIGHT  CHARGES</t>
  </si>
  <si>
    <t>HOUSEKEEPING EXP</t>
  </si>
  <si>
    <t>Income Tax  Paid</t>
  </si>
  <si>
    <t>Inward Expenses</t>
  </si>
  <si>
    <t>LEASE AND  IMPORMENT</t>
  </si>
  <si>
    <t>Licenses Fees</t>
  </si>
  <si>
    <t>Membership Fee -GST</t>
  </si>
  <si>
    <t>Mi Tv Stick with Built In Chromecast</t>
  </si>
  <si>
    <t>Pan Drive</t>
  </si>
  <si>
    <t>Printing &amp; stationery- 18%</t>
  </si>
  <si>
    <t>Professional fees</t>
  </si>
  <si>
    <t>Professional fees -GST</t>
  </si>
  <si>
    <t>RENT EXPENSE</t>
  </si>
  <si>
    <t>Repair and Maintenace</t>
  </si>
  <si>
    <t>ROC-Stamp Duty</t>
  </si>
  <si>
    <t>SECURITY GUARD EXP</t>
  </si>
  <si>
    <t>Short &amp; Exess</t>
  </si>
  <si>
    <t>STAFF REIMBUSREMENT</t>
  </si>
  <si>
    <t>TDS LATE FILING FEES 234E</t>
  </si>
  <si>
    <t>Transportation Expenes</t>
  </si>
  <si>
    <t>UPS</t>
  </si>
  <si>
    <t>Water Expense</t>
  </si>
  <si>
    <t>Wi-Fi Adeptor</t>
  </si>
  <si>
    <t>Wi-Fi Expense</t>
  </si>
  <si>
    <t xml:space="preserve">Rent Security </t>
  </si>
  <si>
    <t>PARTICULARS</t>
  </si>
  <si>
    <t>Office Furniture</t>
  </si>
  <si>
    <t>Plant Furniture</t>
  </si>
  <si>
    <t>Machinery and Tools</t>
  </si>
  <si>
    <t>Medivation-Rajsthan</t>
  </si>
  <si>
    <t>Govt. Charges</t>
  </si>
  <si>
    <t>Inspection Charges</t>
  </si>
  <si>
    <t>Jammu Land</t>
  </si>
  <si>
    <t>Assets- Lal Sai</t>
  </si>
  <si>
    <t>Building Construction</t>
  </si>
  <si>
    <t>UPVC DOOR WINDOWS</t>
  </si>
  <si>
    <t>-----Machinery</t>
  </si>
  <si>
    <t>-----Office Equipment</t>
  </si>
  <si>
    <t>-----Plant Land and Govt. Charges</t>
  </si>
  <si>
    <t>Consumables &amp; Supplies</t>
  </si>
  <si>
    <t>Freight &amp; Logistics</t>
  </si>
  <si>
    <t>Operating Expenses (Indirect)</t>
  </si>
  <si>
    <t>Professional &amp; Consultancy Fees</t>
  </si>
  <si>
    <t>Taxes &amp; Statutory Charges</t>
  </si>
  <si>
    <t xml:space="preserve">Office Equipment </t>
  </si>
  <si>
    <t>Furniture</t>
  </si>
  <si>
    <t>RJ</t>
  </si>
  <si>
    <t>Particular</t>
  </si>
  <si>
    <t>Jammu</t>
  </si>
  <si>
    <t>Unit</t>
  </si>
  <si>
    <t>Cash Payment to Vendor</t>
  </si>
  <si>
    <t>-----Furniture</t>
  </si>
  <si>
    <t>-------Ankit Bansal</t>
  </si>
  <si>
    <t>-------Aathesh Ventures Pvt Ltd</t>
  </si>
  <si>
    <t>-------Divya Chadha</t>
  </si>
  <si>
    <t>Account Payables</t>
  </si>
  <si>
    <t>Interest Income</t>
  </si>
  <si>
    <t>Duties and Taxes</t>
  </si>
  <si>
    <t xml:space="preserve">-----Advance to Supplier </t>
  </si>
  <si>
    <t>-----Vendor Outstanding</t>
  </si>
  <si>
    <t xml:space="preserve">-----GST Input </t>
  </si>
  <si>
    <t>-----Other Receivables</t>
  </si>
  <si>
    <t>-----FD with HDFC Bank (New)</t>
  </si>
  <si>
    <t xml:space="preserve">-----FD Interest </t>
  </si>
  <si>
    <t>-----Cash Introduce and Vendors Payment</t>
  </si>
  <si>
    <t>Machinery</t>
  </si>
  <si>
    <t>Plant Land and Govt. Charges</t>
  </si>
  <si>
    <t>-------Share capital Introduced</t>
  </si>
  <si>
    <t>R D Traders</t>
  </si>
  <si>
    <t>DISBURSEMENT FEE ( DHL Import )</t>
  </si>
  <si>
    <t>Housekeeping Consumable</t>
  </si>
  <si>
    <t>IMPORT EXPORT DUTIES</t>
  </si>
  <si>
    <t>INCOME TAX</t>
  </si>
  <si>
    <t>Legal Charges ( Kavita Gupta )</t>
  </si>
  <si>
    <t>Raw Material - Packaging Material</t>
  </si>
  <si>
    <t>Tools Instruments</t>
  </si>
  <si>
    <t>Warehouse Charges</t>
  </si>
  <si>
    <t>-----Misc Income</t>
  </si>
  <si>
    <t>Parv Goyal Imprest</t>
  </si>
  <si>
    <t xml:space="preserve">Parv Goyal card </t>
  </si>
  <si>
    <t>-----Computer and Laptop</t>
  </si>
  <si>
    <t>Other Receivables</t>
  </si>
  <si>
    <t>Secuity Deposit-wifi</t>
  </si>
  <si>
    <t xml:space="preserve">Brij Industries </t>
  </si>
  <si>
    <t>Reliant Packaging Films Private Ltd</t>
  </si>
  <si>
    <t>Atul Traders</t>
  </si>
  <si>
    <t xml:space="preserve">TOTAL </t>
  </si>
  <si>
    <t>Vendor Outstanding</t>
  </si>
  <si>
    <t>Advance to Supplier</t>
  </si>
  <si>
    <t>K</t>
  </si>
  <si>
    <t>SABHAYA COMPUTERS</t>
  </si>
  <si>
    <t xml:space="preserve">Computer and Laptop </t>
  </si>
  <si>
    <t>Bank Guarantee Charges</t>
  </si>
  <si>
    <t>Hotel Expenses</t>
  </si>
  <si>
    <t>Misc Expense</t>
  </si>
  <si>
    <t>Staff Salary Expenses</t>
  </si>
  <si>
    <t>Calibration Charges</t>
  </si>
  <si>
    <t>Others</t>
  </si>
  <si>
    <t>Financial Charges</t>
  </si>
  <si>
    <t>Guest House Rent</t>
  </si>
  <si>
    <t>Rounded Off</t>
  </si>
  <si>
    <t>-----Other Expense(Jammu)</t>
  </si>
  <si>
    <t>-----Other Expense(Rajasthan)</t>
  </si>
  <si>
    <t>-----Building Construction</t>
  </si>
  <si>
    <t>E</t>
  </si>
  <si>
    <t>B</t>
  </si>
  <si>
    <t>-</t>
  </si>
  <si>
    <t>SUSPENSE ENTRIES</t>
  </si>
  <si>
    <t>Printing &amp; stationery</t>
  </si>
  <si>
    <t>Printing &amp; stationery- 12%</t>
  </si>
  <si>
    <t>J</t>
  </si>
  <si>
    <t>Medivation Rajasthan</t>
  </si>
  <si>
    <t>M</t>
  </si>
  <si>
    <t>-----Others</t>
  </si>
  <si>
    <t>H1</t>
  </si>
  <si>
    <t>I1</t>
  </si>
  <si>
    <t>FD Interest Accrured</t>
  </si>
  <si>
    <t>Bills Not Yet Received</t>
  </si>
  <si>
    <t>-----Fixed Asset of Rajasathan</t>
  </si>
  <si>
    <t>-----CWIP-Other Expense</t>
  </si>
  <si>
    <t>Spectrum Medtech Pvt Ltd</t>
  </si>
  <si>
    <t>TDS RECEVIBLES</t>
  </si>
  <si>
    <t>-----Capital Work in Process</t>
  </si>
  <si>
    <t>Material Insurance</t>
  </si>
  <si>
    <t>Property Insurance</t>
  </si>
  <si>
    <t>Management_Report_(Funds Utilization Sheet)_upto_30th_November_2025</t>
  </si>
  <si>
    <t>-----Salaries &amp; Wages Due for the Month of Nov'25</t>
  </si>
  <si>
    <t>Service Solution</t>
  </si>
  <si>
    <t>Asset-Lal Sai</t>
  </si>
  <si>
    <t>Pectherm private limited</t>
  </si>
  <si>
    <t xml:space="preserve">Building Construction-Material </t>
  </si>
  <si>
    <t>VTrans (India) Limited</t>
  </si>
  <si>
    <t>Consumable Itmes 5%</t>
  </si>
  <si>
    <t>Reimbursement Fee</t>
  </si>
  <si>
    <t xml:space="preserve">RAJ </t>
  </si>
  <si>
    <t>JAM</t>
  </si>
  <si>
    <t xml:space="preserve">Grand Total </t>
  </si>
  <si>
    <t>HDFC BANK  99999999999965 ( Gurugram )</t>
  </si>
  <si>
    <t>------HDFC Bank ( Loan -99649763 )</t>
  </si>
  <si>
    <t xml:space="preserve">------HDFC WC Term Loan O/S </t>
  </si>
  <si>
    <t>TDS on contractor</t>
  </si>
  <si>
    <t>Vihann Equipmnent</t>
  </si>
  <si>
    <t>Jagdamba Electricals</t>
  </si>
  <si>
    <t>Balaji Traders</t>
  </si>
  <si>
    <t>Ajanta Export Industries</t>
  </si>
  <si>
    <t xml:space="preserve">BlockWise Enginnering LLC_x000D_
</t>
  </si>
  <si>
    <t xml:space="preserve">Pentagon Assembly Automation Pvt Ltd_x000D_
</t>
  </si>
  <si>
    <t>Ramesh Traders</t>
  </si>
  <si>
    <t>Ss Innovators and Realtors Private Limited</t>
  </si>
  <si>
    <t xml:space="preserve">Tresor System Pvt_x000D_
</t>
  </si>
  <si>
    <t>Advertisement / Design Charges</t>
  </si>
  <si>
    <t>BNC Global-Reimbursement</t>
  </si>
  <si>
    <t>Credit Card Late Fee</t>
  </si>
  <si>
    <t>Damages  ( 14 B )</t>
  </si>
  <si>
    <t>DGFT Application Charges</t>
  </si>
  <si>
    <t>Harshal Bhavirbhai Joshipura-Reimbursement</t>
  </si>
  <si>
    <t>Harshit Panchal - Imprest</t>
  </si>
  <si>
    <t>Interest ( 7Q )</t>
  </si>
  <si>
    <t>MEMBER SEC STATE POLLUTION CONTROL BOARD</t>
  </si>
  <si>
    <t>Provident Fund_Reimbursement</t>
  </si>
  <si>
    <t>RTA Processing Fees</t>
  </si>
  <si>
    <t>Vikash - Reimbursement</t>
  </si>
  <si>
    <t xml:space="preserve">Consumables &amp; Supplies_x000D_
</t>
  </si>
  <si>
    <t xml:space="preserve">Financial Charges &amp; Income_x000D_
</t>
  </si>
  <si>
    <t xml:space="preserve">Freight &amp; Logistics_x000D_
</t>
  </si>
  <si>
    <t>Insurance</t>
  </si>
  <si>
    <t xml:space="preserve">Operating Expenses (Indirect)_x000D_
</t>
  </si>
  <si>
    <t xml:space="preserve">Professional &amp; Consultancy Fees_x000D_
</t>
  </si>
  <si>
    <t>Salary Expenses</t>
  </si>
  <si>
    <t xml:space="preserve">Taxes &amp; Statutory Charges_x000D_
</t>
  </si>
  <si>
    <t xml:space="preserve">TRAVELLING EXPESNE_x000D_
</t>
  </si>
  <si>
    <t>Credit Card Charges</t>
  </si>
  <si>
    <t>Gift Card (Amazon)</t>
  </si>
  <si>
    <t>International  Expense ( Food &amp; Travelling )</t>
  </si>
  <si>
    <t>License Fee( CONTROLLER  DRUG  AND FOOD  CONTROL )</t>
  </si>
  <si>
    <t>Nikhil-Reimbursement</t>
  </si>
  <si>
    <t>Travel Expense@18%</t>
  </si>
  <si>
    <t>Travel Expense @5%</t>
  </si>
  <si>
    <t>Travel Expense (Non Gst )</t>
  </si>
  <si>
    <t>Make My Trip ( New )</t>
  </si>
  <si>
    <t>Allied Way (Hk) Limited</t>
  </si>
  <si>
    <t>RS Cube Projects Private Limited</t>
  </si>
  <si>
    <t>ICICI Lombard General Insurance</t>
  </si>
  <si>
    <t>Bombay Scientific Stores Pvt Ltd</t>
  </si>
  <si>
    <t>DPS Technology</t>
  </si>
  <si>
    <t>International Traders</t>
  </si>
  <si>
    <t>PCI Analytics Private Limited</t>
  </si>
  <si>
    <t>Amisha Vinyls Pvt Ltd</t>
  </si>
  <si>
    <t>Baalay Safety Solutions</t>
  </si>
  <si>
    <t>Bohra Agri Film Pvt. Ltd.</t>
  </si>
  <si>
    <t>Chinar Roadlines (Regd.)</t>
  </si>
  <si>
    <t>Cost 2 Cost Computer</t>
  </si>
  <si>
    <t>Country Inn &amp; Suites (Radisson) Hotel</t>
  </si>
  <si>
    <t>DHL  Express (India) Pvt Ltd- Import</t>
  </si>
  <si>
    <t>DHL- Express Pvt Ltd - Courier Service</t>
  </si>
  <si>
    <t>Forbes Automation Technologies Pvt Ltd</t>
  </si>
  <si>
    <t>Friends Medicure Private Limited</t>
  </si>
  <si>
    <t>Global Village</t>
  </si>
  <si>
    <t>Hemetek Techno Instruments Pvt. Ltd.</t>
  </si>
  <si>
    <t>Hilo Technologies</t>
  </si>
  <si>
    <t>Indian Packaging Machine</t>
  </si>
  <si>
    <t>Interglobe Aviation Limited (  New Delhi )</t>
  </si>
  <si>
    <t>I-Sourcing Technologies Private Limited</t>
  </si>
  <si>
    <t>J S T LAMINATORS PVT LTD</t>
  </si>
  <si>
    <t>Khalsa Electric Co</t>
  </si>
  <si>
    <t>Kira Corporation</t>
  </si>
  <si>
    <t>Magrax Enterprises Private Limited</t>
  </si>
  <si>
    <t>Mep Contract and Services</t>
  </si>
  <si>
    <t>M/s Bharati Airtel Ltd.</t>
  </si>
  <si>
    <t>Nandwani &amp; Associates</t>
  </si>
  <si>
    <t>National Securities Depository Limited</t>
  </si>
  <si>
    <t>Ninkilim Life Scinces Pvt Ltd</t>
  </si>
  <si>
    <t>Online IT Solutions</t>
  </si>
  <si>
    <t>ORIENT OVERSEAS CONTAINER LINE LIMITED</t>
  </si>
  <si>
    <t>Public Secure Service ( Shri Om Enterprises )</t>
  </si>
  <si>
    <t>Radiant Industries Pvt Ltd</t>
  </si>
  <si>
    <t>Rajiv Plastics Private Limited</t>
  </si>
  <si>
    <t>Rups Medipack Pvt Ltd</t>
  </si>
  <si>
    <t>Safexpress Private Ltd.</t>
  </si>
  <si>
    <t>Sag Enterprises</t>
  </si>
  <si>
    <t>TRUEPOWER ENERGY AND AUTOMATION PVT LTD</t>
  </si>
  <si>
    <t>Vinay Roadlines Private Limited</t>
  </si>
  <si>
    <t>Sagar Rubber Products Pvt.Ltd.</t>
  </si>
  <si>
    <t>Jain Builders</t>
  </si>
  <si>
    <t>Aone Metal Industries</t>
  </si>
  <si>
    <t>Metal Dreams Industries</t>
  </si>
  <si>
    <t>GBN Enteprises</t>
  </si>
  <si>
    <t>Sonu Hardware  Store</t>
  </si>
  <si>
    <t>Ganga Enterprises</t>
  </si>
  <si>
    <t>R. K. Gupta &amp; Bros</t>
  </si>
  <si>
    <t xml:space="preserve">Quantum Technologies </t>
  </si>
  <si>
    <t>Vante</t>
  </si>
  <si>
    <t>Innovative Tools &amp; Dies</t>
  </si>
  <si>
    <t>Demec Cranes &amp; Elevators</t>
  </si>
  <si>
    <t>Idealin Fogging Systems</t>
  </si>
  <si>
    <t>Jagdamba Trading Co</t>
  </si>
  <si>
    <t>Gulati Agencies (P) Ltd.,</t>
  </si>
  <si>
    <t>Ultima Material Handling Solutions Private Limited</t>
  </si>
  <si>
    <t>Bharat Oil &amp; Waste Management Limited</t>
  </si>
  <si>
    <t>Clicktech Retail Private Limited</t>
  </si>
  <si>
    <t>BG Commission &amp; Other Charges</t>
  </si>
  <si>
    <t>Bank Charges- Commission ( On Import of Goods)</t>
  </si>
  <si>
    <t>Bank Charges ( Make My Trip )</t>
  </si>
  <si>
    <t>Hotel Stay Expense (NEW)</t>
  </si>
  <si>
    <t>Health Insurances</t>
  </si>
  <si>
    <t>Round Off</t>
  </si>
  <si>
    <t>Staff Welfare ( Expense )</t>
  </si>
  <si>
    <t>G</t>
  </si>
  <si>
    <t>Raw Material Stock</t>
  </si>
  <si>
    <t>Local Purchase@18%</t>
  </si>
  <si>
    <t>Purchase IGST @18%</t>
  </si>
  <si>
    <t xml:space="preserve">Particular </t>
  </si>
  <si>
    <t>Packaging Material</t>
  </si>
  <si>
    <t>Raw Material</t>
  </si>
  <si>
    <t xml:space="preserve">-----Raw Material-Stock </t>
  </si>
  <si>
    <t xml:space="preserve">-----GST Input Jammu </t>
  </si>
  <si>
    <t>-----GST Input Rajasthan</t>
  </si>
  <si>
    <t/>
  </si>
  <si>
    <t>Other Creditors</t>
  </si>
  <si>
    <t>Air India-Baroda</t>
  </si>
  <si>
    <t>Air India - Gurgaon</t>
  </si>
  <si>
    <t>Air India Limited-Delhi</t>
  </si>
  <si>
    <t>Air India Limited -Kerala</t>
  </si>
  <si>
    <t>Interglobe Aviation Limited ( Jammu )</t>
  </si>
  <si>
    <t>Interglobe Aviation Limited-Mumbai</t>
  </si>
  <si>
    <t>Make My Trip (India) Pvt. Ltd.- Gurgaon</t>
  </si>
  <si>
    <t>National Aviation Company of India Ltd -Jammu</t>
  </si>
  <si>
    <t>Spicejet Limited</t>
  </si>
  <si>
    <t>Amazon Creditors</t>
  </si>
  <si>
    <t>Foreign Creditors</t>
  </si>
  <si>
    <t>Resonetics Medelec</t>
  </si>
  <si>
    <t>Tyco Electronics Middle East Fze</t>
  </si>
  <si>
    <t>Furniture Creditors</t>
  </si>
  <si>
    <t>Magnus Kleantech</t>
  </si>
  <si>
    <t>Insurance Creditors</t>
  </si>
  <si>
    <t>Machinery Creditors</t>
  </si>
  <si>
    <t>Airwaves Projects Pvt. Ltd</t>
  </si>
  <si>
    <t>Rising Sun Enterprises</t>
  </si>
  <si>
    <t>Sterile Safequip And Chemicals LLP</t>
  </si>
  <si>
    <t>Rent for Creditors</t>
  </si>
  <si>
    <t>Alliance Tooling</t>
  </si>
  <si>
    <t>Anziam Bio Private Limited</t>
  </si>
  <si>
    <t>BHAGWATI ENTERPRISES</t>
  </si>
  <si>
    <t>Dn Printex Private Limited</t>
  </si>
  <si>
    <t>Fedex Express Transportation And Suppy Chain Service (India) Pvt .Ltd.</t>
  </si>
  <si>
    <t>Globalflow Logistics India Private Limited</t>
  </si>
  <si>
    <t>GMP Technical Solutions Pvt Ltd</t>
  </si>
  <si>
    <t>Gs1 India</t>
  </si>
  <si>
    <t>Hdfc Commission</t>
  </si>
  <si>
    <t>HOTEL BHOLA</t>
  </si>
  <si>
    <t>HOTEL CORPORATE</t>
  </si>
  <si>
    <t>IB Monotaro Private Limited</t>
  </si>
  <si>
    <t>Impressions Printing &amp; Packaging Limited Jammu Unit-Ii</t>
  </si>
  <si>
    <t>Jhelum Resorts Pvt Limited</t>
  </si>
  <si>
    <t>JIANGYIN HONGMENG RUBBER PLASTIC PRODUCT CO., LTD</t>
  </si>
  <si>
    <t>Jw  Marriott</t>
  </si>
  <si>
    <t>Kamla's Chemicals &amp; Instrument</t>
  </si>
  <si>
    <t>KAY SONS INDIA PVT LTD</t>
  </si>
  <si>
    <t>K R Enterprises</t>
  </si>
  <si>
    <t>Krishnarpan Hospitality Private Limited</t>
  </si>
  <si>
    <t>MR Window</t>
  </si>
  <si>
    <t>Nitco Logistics Private Limited</t>
  </si>
  <si>
    <t>N.T Electricals</t>
  </si>
  <si>
    <t>Power Vista Technologies</t>
  </si>
  <si>
    <t>Radical Scientific Equipments Pvt. Ltd.</t>
  </si>
  <si>
    <t>Raj  Enterprises</t>
  </si>
  <si>
    <t>RBA  Hospitality</t>
  </si>
  <si>
    <t>Reliance Industries Limited</t>
  </si>
  <si>
    <t>SafewayTechnologies</t>
  </si>
  <si>
    <t>Skd Enterprises</t>
  </si>
  <si>
    <t>Space Age Diagnostics</t>
  </si>
  <si>
    <t>Techroya Lsundaramgi</t>
  </si>
  <si>
    <t>Twinkle Papers Limited</t>
  </si>
  <si>
    <t>Uber India System Pvt Ltd</t>
  </si>
  <si>
    <t>-----Salaries &amp; Wages Due for the Month of June'26</t>
  </si>
  <si>
    <t>-----Intangible Asset</t>
  </si>
  <si>
    <t>Retailez Private Limited</t>
  </si>
  <si>
    <t>Coherent  Laser  India  Pvt Ltd</t>
  </si>
  <si>
    <t>B S  Entereprises</t>
  </si>
  <si>
    <t>Bw Tec Ag</t>
  </si>
  <si>
    <t>Machine Solutions Inc</t>
  </si>
  <si>
    <t>Athena Technology</t>
  </si>
  <si>
    <t>Milhard Sales Pvt. Ltd.</t>
  </si>
  <si>
    <t>Khush Enterprises</t>
  </si>
  <si>
    <t>Iqbal Ahmed</t>
  </si>
  <si>
    <t>Cherian Enterprises</t>
  </si>
  <si>
    <t>Pass Card  Co Ltd</t>
  </si>
  <si>
    <t>RAJ BARCODE SYSTEMS PVT LTD</t>
  </si>
  <si>
    <t>Other Expense</t>
  </si>
  <si>
    <t>Parv Goyal imprest</t>
  </si>
  <si>
    <t>TCI Freight</t>
  </si>
  <si>
    <t>Parv Goyal imprest-II</t>
  </si>
  <si>
    <t>Closing Bal.</t>
  </si>
  <si>
    <t>Barcode Registration Fee</t>
  </si>
  <si>
    <t>Business Promotion Expenses</t>
  </si>
  <si>
    <t>ESIC</t>
  </si>
  <si>
    <t>Jammu Expense</t>
  </si>
  <si>
    <t>Laboratory Consumables</t>
  </si>
  <si>
    <t>Other Charges</t>
  </si>
  <si>
    <t xml:space="preserve"> </t>
  </si>
  <si>
    <t>Local Purchase@5%</t>
  </si>
  <si>
    <t>Local Purchase @5% IGST</t>
  </si>
  <si>
    <t>Purchase – Medical Consumables</t>
  </si>
  <si>
    <t>Office Equipment</t>
  </si>
  <si>
    <t>Purchase Accounts</t>
  </si>
  <si>
    <t>Direct Expenses</t>
  </si>
  <si>
    <t>Registration &amp; Renewal Charges</t>
  </si>
  <si>
    <t xml:space="preserve">-----Other </t>
  </si>
  <si>
    <t>-----CWIP Expense (Rajasthan)</t>
  </si>
  <si>
    <t>-----Sale Interstate Rajasthan</t>
  </si>
  <si>
    <t>-----FD with HDFC Bank</t>
  </si>
  <si>
    <t xml:space="preserve">COURIER SERVICE_x000D_
</t>
  </si>
  <si>
    <t xml:space="preserve">Wi-Fi Expense_x000D_
</t>
  </si>
  <si>
    <t xml:space="preserve">CERTIFICATION  CHARGES_x000D_
</t>
  </si>
  <si>
    <t>GCP Annual Fee 2026-27</t>
  </si>
  <si>
    <t>GCP Annual Fee 2027-28</t>
  </si>
  <si>
    <t>GCP Annual Fee up to June 2028</t>
  </si>
  <si>
    <t>Creative Cloud Pro</t>
  </si>
  <si>
    <t>GLP Certificate Fee ( Good Laboratory Practices )</t>
  </si>
  <si>
    <t>Google TV Internet</t>
  </si>
  <si>
    <t>License Fee on CDSCO</t>
  </si>
  <si>
    <t xml:space="preserve">Other 
</t>
  </si>
  <si>
    <t>COFFEE DAY GLOBAL LIMITED</t>
  </si>
  <si>
    <t>Global Quality Services</t>
  </si>
  <si>
    <t>IHA Drug and Consumable</t>
  </si>
  <si>
    <t>KAILASH FILLING STATION</t>
  </si>
  <si>
    <t>Navya Print Pack</t>
  </si>
  <si>
    <t>R K POLYMERS</t>
  </si>
  <si>
    <t>SHRI KRISHNA DIE AND TOOLS</t>
  </si>
  <si>
    <t>Purchase Discount Received</t>
  </si>
  <si>
    <t>Malhi Water Engineers</t>
  </si>
  <si>
    <t>R S Plastics</t>
  </si>
  <si>
    <t>Haryana Marble</t>
  </si>
  <si>
    <t>M/S Master Trader</t>
  </si>
  <si>
    <t>Mahajan And Co</t>
  </si>
  <si>
    <t>TOUGHENED GLASS (SFT )</t>
  </si>
  <si>
    <t>Shakti Industries Unit-Ii</t>
  </si>
  <si>
    <t>-----Electrical Equipment</t>
  </si>
  <si>
    <t>N</t>
  </si>
  <si>
    <t>Source Peripherals</t>
  </si>
  <si>
    <t>Samurai Technoweigh</t>
  </si>
  <si>
    <t>-----Rajasthan Creditors</t>
  </si>
  <si>
    <t>Management_Report_(Funds Utilization Sheet)_upto_20th_July_2026</t>
  </si>
  <si>
    <t>Electrical Equipment</t>
  </si>
  <si>
    <t>Nil</t>
  </si>
  <si>
    <t xml:space="preserve">Net Cash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</si>
</sst>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 &quot;₹&quot;\ * #,##0.00_ ;_ &quot;₹&quot;\ * \-#,##0.00_ ;_ &quot;₹&quot;\ * &quot;-&quot;??_ ;_ @_ "/>
    <numFmt numFmtId="165" formatCode="_ * #,##0.00_ ;_ * \-#,##0.00_ ;_ * &quot;-&quot;??_ ;_ @_ "/>
    <numFmt numFmtId="166" formatCode="_(* #,##0_);_(* \(#,##0\);_(* &quot;-&quot;??_);_(@_)"/>
    <numFmt numFmtId="167" formatCode="dd\-mmm\-yy"/>
    <numFmt numFmtId="168" formatCode="&quot;&quot;0.00"/>
    <numFmt numFmtId="169" formatCode="_ * #,##0_ ;_ * \-#,##0_ ;_ * &quot;-&quot;??_ ;_ @_ "/>
    <numFmt numFmtId="170" formatCode="&quot;&quot;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u val="singleAccounting"/>
      <sz val="12"/>
      <color theme="1"/>
      <name val="Times New Roman"/>
      <family val="1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i/>
      <sz val="9"/>
      <color theme="1"/>
      <name val="Times New Roman"/>
      <family val="1"/>
    </font>
    <font>
      <b/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3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</cellStyleXfs>
  <cellXfs count="32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66" fontId="0" fillId="0" borderId="1" xfId="1" applyNumberFormat="1" applyFont="1" applyBorder="1"/>
    <xf numFmtId="166" fontId="2" fillId="0" borderId="1" xfId="1" applyNumberFormat="1" applyFont="1" applyBorder="1"/>
    <xf numFmtId="0" fontId="0" fillId="3" borderId="1" xfId="0" applyFill="1" applyBorder="1"/>
    <xf numFmtId="166" fontId="0" fillId="3" borderId="1" xfId="1" applyNumberFormat="1" applyFont="1" applyFill="1" applyBorder="1"/>
    <xf numFmtId="0" fontId="5" fillId="0" borderId="0" xfId="0" applyFont="1"/>
    <xf numFmtId="2" fontId="5" fillId="0" borderId="0" xfId="0" applyNumberFormat="1" applyFont="1"/>
    <xf numFmtId="0" fontId="5" fillId="0" borderId="1" xfId="0" applyFont="1" applyBorder="1"/>
    <xf numFmtId="0" fontId="8" fillId="0" borderId="1" xfId="0" applyFont="1" applyBorder="1"/>
    <xf numFmtId="0" fontId="8" fillId="0" borderId="0" xfId="0" applyFont="1"/>
    <xf numFmtId="43" fontId="5" fillId="0" borderId="0" xfId="1" applyFont="1" applyFill="1" applyBorder="1"/>
    <xf numFmtId="43" fontId="5" fillId="0" borderId="0" xfId="1" applyFont="1"/>
    <xf numFmtId="0" fontId="7" fillId="0" borderId="0" xfId="4" applyFont="1"/>
    <xf numFmtId="0" fontId="7" fillId="0" borderId="1" xfId="4" applyFont="1" applyBorder="1"/>
    <xf numFmtId="2" fontId="7" fillId="0" borderId="0" xfId="4" applyNumberFormat="1" applyFont="1"/>
    <xf numFmtId="49" fontId="6" fillId="0" borderId="0" xfId="4" applyNumberFormat="1" applyFont="1" applyAlignment="1">
      <alignment vertical="top"/>
    </xf>
    <xf numFmtId="0" fontId="7" fillId="0" borderId="0" xfId="4" applyFont="1" applyAlignment="1">
      <alignment vertical="top"/>
    </xf>
    <xf numFmtId="49" fontId="7" fillId="0" borderId="1" xfId="4" applyNumberFormat="1" applyFont="1" applyBorder="1" applyAlignment="1">
      <alignment vertical="top"/>
    </xf>
    <xf numFmtId="167" fontId="7" fillId="0" borderId="1" xfId="4" applyNumberFormat="1" applyFont="1" applyBorder="1" applyAlignment="1">
      <alignment horizontal="right" vertical="top"/>
    </xf>
    <xf numFmtId="0" fontId="6" fillId="0" borderId="1" xfId="4" applyFont="1" applyBorder="1"/>
    <xf numFmtId="0" fontId="6" fillId="0" borderId="0" xfId="4" applyFont="1"/>
    <xf numFmtId="0" fontId="6" fillId="0" borderId="0" xfId="5" applyFont="1"/>
    <xf numFmtId="0" fontId="7" fillId="0" borderId="0" xfId="5" applyFont="1"/>
    <xf numFmtId="0" fontId="7" fillId="0" borderId="1" xfId="5" applyFont="1" applyBorder="1"/>
    <xf numFmtId="43" fontId="7" fillId="0" borderId="0" xfId="1" applyFont="1"/>
    <xf numFmtId="43" fontId="5" fillId="0" borderId="1" xfId="1" applyFont="1" applyBorder="1"/>
    <xf numFmtId="15" fontId="5" fillId="0" borderId="1" xfId="0" applyNumberFormat="1" applyFont="1" applyBorder="1"/>
    <xf numFmtId="0" fontId="8" fillId="0" borderId="0" xfId="0" quotePrefix="1" applyFont="1"/>
    <xf numFmtId="49" fontId="11" fillId="5" borderId="1" xfId="4" applyNumberFormat="1" applyFont="1" applyFill="1" applyBorder="1" applyAlignment="1">
      <alignment horizontal="center" vertical="center"/>
    </xf>
    <xf numFmtId="166" fontId="7" fillId="0" borderId="1" xfId="1" applyNumberFormat="1" applyFont="1" applyBorder="1" applyAlignment="1">
      <alignment horizontal="right" vertical="top"/>
    </xf>
    <xf numFmtId="166" fontId="6" fillId="0" borderId="1" xfId="1" applyNumberFormat="1" applyFont="1" applyFill="1" applyBorder="1"/>
    <xf numFmtId="0" fontId="10" fillId="0" borderId="0" xfId="0" applyFont="1"/>
    <xf numFmtId="0" fontId="6" fillId="0" borderId="1" xfId="5" applyFont="1" applyBorder="1"/>
    <xf numFmtId="49" fontId="9" fillId="5" borderId="1" xfId="4" applyNumberFormat="1" applyFont="1" applyFill="1" applyBorder="1" applyAlignment="1">
      <alignment horizontal="left" vertical="center"/>
    </xf>
    <xf numFmtId="2" fontId="9" fillId="5" borderId="1" xfId="4" applyNumberFormat="1" applyFont="1" applyFill="1" applyBorder="1" applyAlignment="1">
      <alignment horizontal="left" vertical="center"/>
    </xf>
    <xf numFmtId="49" fontId="11" fillId="5" borderId="1" xfId="4" applyNumberFormat="1" applyFont="1" applyFill="1" applyBorder="1" applyAlignment="1">
      <alignment horizontal="left" vertical="center"/>
    </xf>
    <xf numFmtId="165" fontId="7" fillId="0" borderId="0" xfId="4" applyNumberFormat="1" applyFont="1"/>
    <xf numFmtId="166" fontId="7" fillId="0" borderId="0" xfId="5" applyNumberFormat="1" applyFont="1"/>
    <xf numFmtId="166" fontId="6" fillId="0" borderId="0" xfId="1" applyNumberFormat="1" applyFont="1" applyFill="1" applyBorder="1"/>
    <xf numFmtId="166" fontId="6" fillId="0" borderId="0" xfId="5" applyNumberFormat="1" applyFont="1"/>
    <xf numFmtId="49" fontId="7" fillId="0" borderId="1" xfId="0" applyNumberFormat="1" applyFont="1" applyBorder="1" applyAlignment="1">
      <alignment vertical="top"/>
    </xf>
    <xf numFmtId="165" fontId="8" fillId="0" borderId="1" xfId="2" applyFont="1" applyBorder="1"/>
    <xf numFmtId="49" fontId="11" fillId="5" borderId="1" xfId="6" applyNumberFormat="1" applyFont="1" applyFill="1" applyBorder="1" applyAlignment="1">
      <alignment horizontal="center" vertical="center"/>
    </xf>
    <xf numFmtId="49" fontId="8" fillId="0" borderId="1" xfId="4" applyNumberFormat="1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166" fontId="12" fillId="0" borderId="0" xfId="1" applyNumberFormat="1" applyFont="1" applyFill="1"/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/>
    </xf>
    <xf numFmtId="2" fontId="12" fillId="0" borderId="0" xfId="0" applyNumberFormat="1" applyFont="1"/>
    <xf numFmtId="0" fontId="12" fillId="0" borderId="3" xfId="0" applyFont="1" applyBorder="1" applyAlignment="1">
      <alignment horizontal="center"/>
    </xf>
    <xf numFmtId="165" fontId="12" fillId="0" borderId="0" xfId="0" applyNumberFormat="1" applyFont="1"/>
    <xf numFmtId="0" fontId="12" fillId="0" borderId="4" xfId="0" quotePrefix="1" applyFont="1" applyBorder="1"/>
    <xf numFmtId="0" fontId="12" fillId="0" borderId="3" xfId="0" quotePrefix="1" applyFont="1" applyBorder="1" applyAlignment="1">
      <alignment horizontal="center"/>
    </xf>
    <xf numFmtId="43" fontId="12" fillId="0" borderId="0" xfId="1" applyFont="1" applyFill="1" applyBorder="1"/>
    <xf numFmtId="166" fontId="12" fillId="0" borderId="0" xfId="0" applyNumberFormat="1" applyFont="1"/>
    <xf numFmtId="49" fontId="11" fillId="5" borderId="1" xfId="4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left" vertical="top" wrapText="1"/>
    </xf>
    <xf numFmtId="166" fontId="5" fillId="0" borderId="1" xfId="1" applyNumberFormat="1" applyFont="1" applyBorder="1"/>
    <xf numFmtId="166" fontId="8" fillId="0" borderId="1" xfId="1" applyNumberFormat="1" applyFont="1" applyBorder="1" applyAlignment="1">
      <alignment horizontal="right" vertical="center"/>
    </xf>
    <xf numFmtId="49" fontId="14" fillId="5" borderId="1" xfId="4" applyNumberFormat="1" applyFont="1" applyFill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/>
    <xf numFmtId="0" fontId="15" fillId="0" borderId="1" xfId="0" applyFont="1" applyBorder="1" applyAlignment="1">
      <alignment horizontal="right"/>
    </xf>
    <xf numFmtId="166" fontId="15" fillId="0" borderId="1" xfId="1" applyNumberFormat="1" applyFont="1" applyFill="1" applyBorder="1"/>
    <xf numFmtId="0" fontId="16" fillId="0" borderId="0" xfId="0" applyFont="1"/>
    <xf numFmtId="0" fontId="15" fillId="0" borderId="0" xfId="0" applyFont="1"/>
    <xf numFmtId="43" fontId="12" fillId="0" borderId="3" xfId="1" applyFont="1" applyFill="1" applyBorder="1" applyAlignment="1">
      <alignment horizontal="right"/>
    </xf>
    <xf numFmtId="0" fontId="12" fillId="0" borderId="8" xfId="0" applyFont="1" applyBorder="1"/>
    <xf numFmtId="0" fontId="12" fillId="0" borderId="9" xfId="0" applyFont="1" applyBorder="1" applyAlignment="1">
      <alignment horizontal="center"/>
    </xf>
    <xf numFmtId="166" fontId="12" fillId="0" borderId="9" xfId="1" applyNumberFormat="1" applyFont="1" applyFill="1" applyBorder="1"/>
    <xf numFmtId="0" fontId="12" fillId="0" borderId="9" xfId="0" applyFont="1" applyBorder="1"/>
    <xf numFmtId="166" fontId="12" fillId="0" borderId="10" xfId="1" applyNumberFormat="1" applyFont="1" applyFill="1" applyBorder="1"/>
    <xf numFmtId="0" fontId="13" fillId="2" borderId="16" xfId="0" applyFont="1" applyFill="1" applyBorder="1" applyAlignment="1">
      <alignment horizontal="center" vertical="center"/>
    </xf>
    <xf numFmtId="166" fontId="13" fillId="2" borderId="16" xfId="2" applyNumberFormat="1" applyFont="1" applyFill="1" applyBorder="1" applyAlignment="1">
      <alignment horizontal="center" vertical="center"/>
    </xf>
    <xf numFmtId="0" fontId="10" fillId="0" borderId="17" xfId="0" applyFont="1" applyBorder="1"/>
    <xf numFmtId="0" fontId="10" fillId="0" borderId="14" xfId="0" applyFont="1" applyBorder="1" applyAlignment="1">
      <alignment horizontal="center"/>
    </xf>
    <xf numFmtId="0" fontId="10" fillId="0" borderId="17" xfId="0" quotePrefix="1" applyFont="1" applyBorder="1"/>
    <xf numFmtId="0" fontId="10" fillId="0" borderId="14" xfId="0" quotePrefix="1" applyFont="1" applyBorder="1" applyAlignment="1">
      <alignment horizontal="center"/>
    </xf>
    <xf numFmtId="43" fontId="12" fillId="0" borderId="13" xfId="1" applyFont="1" applyFill="1" applyBorder="1" applyAlignment="1"/>
    <xf numFmtId="43" fontId="12" fillId="0" borderId="13" xfId="1" applyFont="1" applyFill="1" applyBorder="1"/>
    <xf numFmtId="0" fontId="10" fillId="6" borderId="2" xfId="0" applyFont="1" applyFill="1" applyBorder="1"/>
    <xf numFmtId="0" fontId="12" fillId="0" borderId="2" xfId="0" applyFont="1" applyBorder="1"/>
    <xf numFmtId="0" fontId="10" fillId="7" borderId="2" xfId="0" applyFont="1" applyFill="1" applyBorder="1"/>
    <xf numFmtId="0" fontId="12" fillId="0" borderId="2" xfId="0" quotePrefix="1" applyFont="1" applyBorder="1"/>
    <xf numFmtId="165" fontId="12" fillId="0" borderId="2" xfId="0" applyNumberFormat="1" applyFont="1" applyBorder="1"/>
    <xf numFmtId="0" fontId="10" fillId="0" borderId="2" xfId="0" applyFont="1" applyBorder="1"/>
    <xf numFmtId="0" fontId="12" fillId="0" borderId="19" xfId="0" applyFont="1" applyBorder="1"/>
    <xf numFmtId="0" fontId="12" fillId="0" borderId="20" xfId="0" applyFont="1" applyBorder="1" applyAlignment="1">
      <alignment horizontal="center"/>
    </xf>
    <xf numFmtId="0" fontId="12" fillId="0" borderId="21" xfId="0" applyFont="1" applyBorder="1"/>
    <xf numFmtId="0" fontId="10" fillId="0" borderId="18" xfId="0" applyFont="1" applyBorder="1"/>
    <xf numFmtId="0" fontId="10" fillId="0" borderId="24" xfId="0" quotePrefix="1" applyFont="1" applyBorder="1"/>
    <xf numFmtId="0" fontId="10" fillId="0" borderId="11" xfId="0" quotePrefix="1" applyFont="1" applyBorder="1" applyAlignment="1">
      <alignment horizontal="center"/>
    </xf>
    <xf numFmtId="0" fontId="10" fillId="0" borderId="12" xfId="0" applyFont="1" applyBorder="1"/>
    <xf numFmtId="0" fontId="10" fillId="0" borderId="11" xfId="0" applyFont="1" applyBorder="1" applyAlignment="1">
      <alignment horizontal="center"/>
    </xf>
    <xf numFmtId="2" fontId="10" fillId="0" borderId="0" xfId="0" applyNumberFormat="1" applyFont="1"/>
    <xf numFmtId="166" fontId="12" fillId="0" borderId="0" xfId="1" applyNumberFormat="1" applyFont="1" applyFill="1" applyBorder="1" applyAlignment="1"/>
    <xf numFmtId="43" fontId="12" fillId="0" borderId="0" xfId="0" applyNumberFormat="1" applyFont="1"/>
    <xf numFmtId="166" fontId="10" fillId="0" borderId="0" xfId="0" applyNumberFormat="1" applyFont="1"/>
    <xf numFmtId="43" fontId="12" fillId="0" borderId="20" xfId="1" applyFont="1" applyFill="1" applyBorder="1" applyAlignment="1">
      <alignment horizontal="right"/>
    </xf>
    <xf numFmtId="43" fontId="12" fillId="0" borderId="14" xfId="1" applyFont="1" applyFill="1" applyBorder="1" applyAlignment="1">
      <alignment horizontal="right"/>
    </xf>
    <xf numFmtId="43" fontId="12" fillId="0" borderId="11" xfId="1" applyFont="1" applyFill="1" applyBorder="1" applyAlignment="1">
      <alignment horizontal="right"/>
    </xf>
    <xf numFmtId="43" fontId="12" fillId="0" borderId="13" xfId="1" applyFont="1" applyFill="1" applyBorder="1" applyAlignment="1">
      <alignment horizontal="center" vertical="center"/>
    </xf>
    <xf numFmtId="43" fontId="12" fillId="0" borderId="22" xfId="1" applyFont="1" applyFill="1" applyBorder="1" applyAlignment="1">
      <alignment horizontal="center" vertical="center"/>
    </xf>
    <xf numFmtId="43" fontId="12" fillId="0" borderId="23" xfId="1" applyFont="1" applyFill="1" applyBorder="1" applyAlignment="1">
      <alignment horizontal="center" vertical="center"/>
    </xf>
    <xf numFmtId="43" fontId="12" fillId="0" borderId="25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3" fontId="5" fillId="0" borderId="0" xfId="1" applyFont="1" applyFill="1" applyBorder="1" applyAlignment="1">
      <alignment horizontal="right"/>
    </xf>
    <xf numFmtId="166" fontId="16" fillId="0" borderId="1" xfId="1" applyNumberFormat="1" applyFont="1" applyFill="1" applyBorder="1"/>
    <xf numFmtId="0" fontId="12" fillId="0" borderId="2" xfId="0" quotePrefix="1" applyFont="1" applyBorder="1" applyAlignment="1">
      <alignment wrapText="1"/>
    </xf>
    <xf numFmtId="14" fontId="5" fillId="0" borderId="1" xfId="0" applyNumberFormat="1" applyFont="1" applyBorder="1"/>
    <xf numFmtId="165" fontId="7" fillId="0" borderId="0" xfId="5" applyNumberFormat="1" applyFont="1"/>
    <xf numFmtId="166" fontId="0" fillId="0" borderId="0" xfId="0" applyNumberFormat="1"/>
    <xf numFmtId="43" fontId="12" fillId="0" borderId="0" xfId="1" applyFont="1" applyFill="1" applyBorder="1" applyAlignment="1">
      <alignment horizontal="right"/>
    </xf>
    <xf numFmtId="43" fontId="12" fillId="0" borderId="15" xfId="1" applyFont="1" applyFill="1" applyBorder="1"/>
    <xf numFmtId="0" fontId="10" fillId="6" borderId="3" xfId="0" applyFont="1" applyFill="1" applyBorder="1"/>
    <xf numFmtId="0" fontId="12" fillId="0" borderId="3" xfId="0" applyFont="1" applyBorder="1"/>
    <xf numFmtId="0" fontId="10" fillId="7" borderId="3" xfId="0" applyFont="1" applyFill="1" applyBorder="1"/>
    <xf numFmtId="0" fontId="12" fillId="0" borderId="3" xfId="0" quotePrefix="1" applyFont="1" applyBorder="1"/>
    <xf numFmtId="0" fontId="10" fillId="7" borderId="3" xfId="0" quotePrefix="1" applyFont="1" applyFill="1" applyBorder="1"/>
    <xf numFmtId="0" fontId="12" fillId="0" borderId="3" xfId="0" quotePrefix="1" applyFont="1" applyBorder="1" applyAlignment="1">
      <alignment wrapText="1"/>
    </xf>
    <xf numFmtId="0" fontId="10" fillId="0" borderId="3" xfId="0" quotePrefix="1" applyFont="1" applyBorder="1"/>
    <xf numFmtId="0" fontId="10" fillId="0" borderId="26" xfId="0" quotePrefix="1" applyFont="1" applyBorder="1"/>
    <xf numFmtId="166" fontId="7" fillId="0" borderId="0" xfId="1" applyNumberFormat="1" applyFont="1" applyBorder="1" applyAlignment="1">
      <alignment horizontal="left" vertical="top"/>
    </xf>
    <xf numFmtId="43" fontId="12" fillId="0" borderId="0" xfId="1" applyFont="1"/>
    <xf numFmtId="0" fontId="10" fillId="7" borderId="11" xfId="0" applyFont="1" applyFill="1" applyBorder="1"/>
    <xf numFmtId="0" fontId="10" fillId="7" borderId="12" xfId="0" applyFont="1" applyFill="1" applyBorder="1"/>
    <xf numFmtId="43" fontId="12" fillId="0" borderId="25" xfId="1" applyFont="1" applyFill="1" applyBorder="1"/>
    <xf numFmtId="0" fontId="12" fillId="0" borderId="1" xfId="0" applyFont="1" applyBorder="1"/>
    <xf numFmtId="0" fontId="13" fillId="8" borderId="16" xfId="0" applyFont="1" applyFill="1" applyBorder="1" applyAlignment="1">
      <alignment horizontal="center" vertical="center"/>
    </xf>
    <xf numFmtId="166" fontId="13" fillId="8" borderId="16" xfId="2" applyNumberFormat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12" fillId="0" borderId="27" xfId="0" applyFont="1" applyBorder="1"/>
    <xf numFmtId="0" fontId="12" fillId="0" borderId="28" xfId="0" applyFont="1" applyBorder="1"/>
    <xf numFmtId="43" fontId="12" fillId="0" borderId="13" xfId="1" applyFont="1" applyFill="1" applyBorder="1" applyAlignment="1">
      <alignment horizontal="right"/>
    </xf>
    <xf numFmtId="43" fontId="12" fillId="0" borderId="22" xfId="1" applyFont="1" applyFill="1" applyBorder="1" applyAlignment="1">
      <alignment horizontal="right"/>
    </xf>
    <xf numFmtId="0" fontId="12" fillId="0" borderId="29" xfId="0" applyFont="1" applyBorder="1" applyAlignment="1">
      <alignment horizontal="center"/>
    </xf>
    <xf numFmtId="43" fontId="12" fillId="0" borderId="1" xfId="1" applyFont="1" applyFill="1" applyBorder="1" applyAlignment="1"/>
    <xf numFmtId="43" fontId="12" fillId="0" borderId="1" xfId="1" applyFont="1" applyFill="1" applyBorder="1"/>
    <xf numFmtId="43" fontId="12" fillId="0" borderId="1" xfId="1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horizontal="right"/>
    </xf>
    <xf numFmtId="43" fontId="10" fillId="0" borderId="3" xfId="1" applyFont="1" applyBorder="1" applyAlignment="1">
      <alignment horizontal="center"/>
    </xf>
    <xf numFmtId="43" fontId="12" fillId="0" borderId="3" xfId="1" quotePrefix="1" applyFont="1" applyBorder="1" applyAlignment="1">
      <alignment horizontal="center"/>
    </xf>
    <xf numFmtId="43" fontId="12" fillId="0" borderId="1" xfId="1" applyFont="1" applyBorder="1"/>
    <xf numFmtId="43" fontId="10" fillId="0" borderId="11" xfId="1" applyFont="1" applyBorder="1" applyAlignment="1">
      <alignment horizontal="center"/>
    </xf>
    <xf numFmtId="43" fontId="12" fillId="0" borderId="3" xfId="1" applyFont="1" applyBorder="1" applyAlignment="1">
      <alignment horizontal="center"/>
    </xf>
    <xf numFmtId="43" fontId="12" fillId="0" borderId="3" xfId="1" applyFont="1" applyBorder="1" applyAlignment="1">
      <alignment vertical="center"/>
    </xf>
    <xf numFmtId="43" fontId="18" fillId="0" borderId="13" xfId="1" applyFont="1" applyFill="1" applyBorder="1" applyAlignment="1">
      <alignment horizontal="center" vertical="center"/>
    </xf>
    <xf numFmtId="166" fontId="12" fillId="0" borderId="3" xfId="1" applyNumberFormat="1" applyFont="1" applyFill="1" applyBorder="1" applyAlignment="1">
      <alignment horizontal="right"/>
    </xf>
    <xf numFmtId="166" fontId="5" fillId="0" borderId="0" xfId="1" applyNumberFormat="1" applyFont="1"/>
    <xf numFmtId="166" fontId="8" fillId="0" borderId="1" xfId="1" applyNumberFormat="1" applyFont="1" applyBorder="1"/>
    <xf numFmtId="166" fontId="8" fillId="0" borderId="0" xfId="1" applyNumberFormat="1" applyFont="1" applyBorder="1"/>
    <xf numFmtId="166" fontId="6" fillId="0" borderId="1" xfId="1" applyNumberFormat="1" applyFont="1" applyFill="1" applyBorder="1" applyAlignment="1">
      <alignment horizontal="right" vertical="top" wrapText="1"/>
    </xf>
    <xf numFmtId="166" fontId="8" fillId="0" borderId="1" xfId="1" applyNumberFormat="1" applyFont="1" applyFill="1" applyBorder="1"/>
    <xf numFmtId="166" fontId="5" fillId="0" borderId="1" xfId="0" applyNumberFormat="1" applyFont="1" applyBorder="1"/>
    <xf numFmtId="166" fontId="5" fillId="0" borderId="0" xfId="0" applyNumberFormat="1" applyFont="1"/>
    <xf numFmtId="166" fontId="11" fillId="5" borderId="1" xfId="4" applyNumberFormat="1" applyFont="1" applyFill="1" applyBorder="1" applyAlignment="1">
      <alignment horizontal="center" vertical="center"/>
    </xf>
    <xf numFmtId="166" fontId="8" fillId="0" borderId="1" xfId="0" applyNumberFormat="1" applyFont="1" applyBorder="1"/>
    <xf numFmtId="166" fontId="8" fillId="0" borderId="0" xfId="0" applyNumberFormat="1" applyFont="1"/>
    <xf numFmtId="43" fontId="5" fillId="0" borderId="0" xfId="0" applyNumberFormat="1" applyFont="1"/>
    <xf numFmtId="43" fontId="7" fillId="0" borderId="0" xfId="4" applyNumberFormat="1" applyFont="1"/>
    <xf numFmtId="168" fontId="19" fillId="0" borderId="0" xfId="0" applyNumberFormat="1" applyFont="1" applyAlignment="1">
      <alignment horizontal="right" vertical="top"/>
    </xf>
    <xf numFmtId="43" fontId="12" fillId="0" borderId="3" xfId="1" quotePrefix="1" applyFont="1" applyFill="1" applyBorder="1" applyAlignment="1">
      <alignment horizontal="center"/>
    </xf>
    <xf numFmtId="43" fontId="10" fillId="0" borderId="3" xfId="1" applyFont="1" applyFill="1" applyBorder="1" applyAlignment="1">
      <alignment horizontal="center"/>
    </xf>
    <xf numFmtId="166" fontId="12" fillId="0" borderId="3" xfId="1" applyNumberFormat="1" applyFont="1" applyFill="1" applyBorder="1" applyAlignment="1">
      <alignment horizontal="center"/>
    </xf>
    <xf numFmtId="166" fontId="12" fillId="0" borderId="30" xfId="0" applyNumberFormat="1" applyFont="1" applyBorder="1" applyAlignment="1">
      <alignment horizontal="center"/>
    </xf>
    <xf numFmtId="166" fontId="10" fillId="0" borderId="14" xfId="1" applyNumberFormat="1" applyFont="1" applyFill="1" applyBorder="1" applyAlignment="1">
      <alignment horizontal="center"/>
    </xf>
    <xf numFmtId="166" fontId="12" fillId="0" borderId="11" xfId="1" applyNumberFormat="1" applyFont="1" applyFill="1" applyBorder="1" applyAlignment="1">
      <alignment horizontal="center"/>
    </xf>
    <xf numFmtId="166" fontId="12" fillId="0" borderId="20" xfId="1" applyNumberFormat="1" applyFont="1" applyFill="1" applyBorder="1" applyAlignment="1">
      <alignment horizontal="center"/>
    </xf>
    <xf numFmtId="2" fontId="12" fillId="0" borderId="0" xfId="1" applyNumberFormat="1" applyFont="1"/>
    <xf numFmtId="1" fontId="5" fillId="0" borderId="1" xfId="0" applyNumberFormat="1" applyFont="1" applyBorder="1"/>
    <xf numFmtId="43" fontId="7" fillId="0" borderId="0" xfId="5" applyNumberFormat="1" applyFont="1"/>
    <xf numFmtId="166" fontId="12" fillId="0" borderId="0" xfId="0" applyNumberFormat="1" applyFont="1" applyAlignment="1">
      <alignment horizontal="center"/>
    </xf>
    <xf numFmtId="166" fontId="12" fillId="0" borderId="0" xfId="1" applyNumberFormat="1" applyFont="1" applyFill="1" applyBorder="1" applyAlignment="1">
      <alignment horizontal="center"/>
    </xf>
    <xf numFmtId="166" fontId="12" fillId="0" borderId="0" xfId="1" applyNumberFormat="1" applyFont="1" applyFill="1" applyBorder="1"/>
    <xf numFmtId="166" fontId="12" fillId="0" borderId="32" xfId="1" applyNumberFormat="1" applyFont="1" applyFill="1" applyBorder="1" applyAlignment="1"/>
    <xf numFmtId="166" fontId="12" fillId="0" borderId="3" xfId="1" applyNumberFormat="1" applyFont="1" applyFill="1" applyBorder="1"/>
    <xf numFmtId="166" fontId="12" fillId="0" borderId="3" xfId="1" applyNumberFormat="1" applyFont="1" applyFill="1" applyBorder="1" applyAlignment="1">
      <alignment horizontal="center" vertical="center"/>
    </xf>
    <xf numFmtId="166" fontId="12" fillId="0" borderId="30" xfId="1" applyNumberFormat="1" applyFont="1" applyFill="1" applyBorder="1"/>
    <xf numFmtId="166" fontId="12" fillId="0" borderId="26" xfId="1" applyNumberFormat="1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2" fillId="0" borderId="3" xfId="0" quotePrefix="1" applyFont="1" applyBorder="1" applyAlignment="1">
      <alignment horizontal="center" wrapText="1"/>
    </xf>
    <xf numFmtId="0" fontId="12" fillId="0" borderId="26" xfId="0" applyFont="1" applyBorder="1" applyAlignment="1">
      <alignment horizontal="center"/>
    </xf>
    <xf numFmtId="49" fontId="22" fillId="0" borderId="21" xfId="0" applyNumberFormat="1" applyFont="1" applyBorder="1" applyAlignment="1">
      <alignment horizontal="left" vertical="top" wrapText="1"/>
    </xf>
    <xf numFmtId="49" fontId="22" fillId="0" borderId="0" xfId="0" applyNumberFormat="1" applyFont="1" applyAlignment="1">
      <alignment horizontal="left" vertical="top" wrapText="1"/>
    </xf>
    <xf numFmtId="166" fontId="21" fillId="0" borderId="0" xfId="1" applyNumberFormat="1" applyFont="1" applyAlignment="1">
      <alignment horizontal="right" vertical="top"/>
    </xf>
    <xf numFmtId="14" fontId="15" fillId="0" borderId="1" xfId="0" applyNumberFormat="1" applyFont="1" applyBorder="1"/>
    <xf numFmtId="49" fontId="19" fillId="0" borderId="0" xfId="0" applyNumberFormat="1" applyFont="1" applyAlignment="1">
      <alignment vertical="top"/>
    </xf>
    <xf numFmtId="170" fontId="19" fillId="0" borderId="0" xfId="0" applyNumberFormat="1" applyFont="1" applyAlignment="1">
      <alignment horizontal="right" vertical="top"/>
    </xf>
    <xf numFmtId="49" fontId="22" fillId="0" borderId="0" xfId="0" applyNumberFormat="1" applyFont="1" applyAlignment="1">
      <alignment vertical="top"/>
    </xf>
    <xf numFmtId="168" fontId="22" fillId="0" borderId="2" xfId="0" applyNumberFormat="1" applyFont="1" applyBorder="1" applyAlignment="1">
      <alignment horizontal="right" vertical="top"/>
    </xf>
    <xf numFmtId="49" fontId="23" fillId="0" borderId="0" xfId="0" applyNumberFormat="1" applyFont="1" applyAlignment="1">
      <alignment horizontal="left" vertical="top" indent="4"/>
    </xf>
    <xf numFmtId="168" fontId="23" fillId="0" borderId="0" xfId="0" applyNumberFormat="1" applyFont="1" applyAlignment="1">
      <alignment horizontal="right" vertical="top"/>
    </xf>
    <xf numFmtId="168" fontId="22" fillId="0" borderId="12" xfId="0" applyNumberFormat="1" applyFont="1" applyBorder="1" applyAlignment="1">
      <alignment horizontal="right" vertical="top"/>
    </xf>
    <xf numFmtId="49" fontId="19" fillId="0" borderId="1" xfId="0" applyNumberFormat="1" applyFont="1" applyBorder="1" applyAlignment="1">
      <alignment horizontal="center" vertical="top"/>
    </xf>
    <xf numFmtId="170" fontId="23" fillId="0" borderId="0" xfId="0" applyNumberFormat="1" applyFont="1" applyAlignment="1">
      <alignment horizontal="right" vertical="top"/>
    </xf>
    <xf numFmtId="170" fontId="22" fillId="0" borderId="12" xfId="0" applyNumberFormat="1" applyFont="1" applyBorder="1" applyAlignment="1">
      <alignment horizontal="right" vertical="top"/>
    </xf>
    <xf numFmtId="168" fontId="23" fillId="0" borderId="0" xfId="0" applyNumberFormat="1" applyFont="1" applyAlignment="1">
      <alignment horizontal="right" vertical="top" wrapText="1"/>
    </xf>
    <xf numFmtId="170" fontId="22" fillId="0" borderId="0" xfId="0" applyNumberFormat="1" applyFont="1" applyAlignment="1">
      <alignment horizontal="right" vertical="top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7" xfId="0" applyFont="1" applyBorder="1" applyAlignment="1">
      <alignment horizontal="center"/>
    </xf>
    <xf numFmtId="0" fontId="17" fillId="0" borderId="19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49" fontId="23" fillId="0" borderId="21" xfId="0" applyNumberFormat="1" applyFont="1" applyBorder="1" applyAlignment="1">
      <alignment horizontal="center" vertical="top" wrapText="1"/>
    </xf>
    <xf numFmtId="49" fontId="22" fillId="0" borderId="33" xfId="0" applyNumberFormat="1" applyFont="1" applyBorder="1" applyAlignment="1">
      <alignment horizontal="center" vertical="top" wrapText="1"/>
    </xf>
    <xf numFmtId="49" fontId="22" fillId="0" borderId="0" xfId="0" applyNumberFormat="1" applyFont="1" applyAlignment="1">
      <alignment horizontal="center" vertical="top" wrapText="1"/>
    </xf>
    <xf numFmtId="0" fontId="8" fillId="0" borderId="12" xfId="0" applyFont="1" applyBorder="1" applyAlignment="1">
      <alignment horizontal="center"/>
    </xf>
    <xf numFmtId="0" fontId="8" fillId="0" borderId="0" xfId="0" applyFont="1" applyAlignment="1">
      <alignment horizontal="center"/>
    </xf>
    <xf numFmtId="166" fontId="5" fillId="0" borderId="1" xfId="1" applyNumberFormat="1" applyFont="1" applyFill="1" applyBorder="1" applyAlignment="1">
      <alignment horizontal="right"/>
    </xf>
    <xf numFmtId="166" fontId="16" fillId="0" borderId="1" xfId="1" applyNumberFormat="1" applyFont="1" applyFill="1" applyBorder="1" applyAlignment="1">
      <alignment horizontal="left"/>
    </xf>
    <xf numFmtId="49" fontId="22" fillId="0" borderId="34" xfId="0" applyNumberFormat="1" applyFont="1" applyBorder="1" applyAlignment="1">
      <alignment horizontal="left" vertical="top" indent="4"/>
    </xf>
    <xf numFmtId="49" fontId="23" fillId="0" borderId="0" xfId="0" applyNumberFormat="1" applyFont="1" applyAlignment="1">
      <alignment horizontal="left" vertical="top" wrapText="1" indent="4"/>
    </xf>
    <xf numFmtId="49" fontId="23" fillId="0" borderId="0" xfId="0" applyNumberFormat="1" applyFont="1" applyAlignment="1">
      <alignment horizontal="left" vertical="top" indent="3"/>
    </xf>
    <xf numFmtId="49" fontId="22" fillId="0" borderId="2" xfId="0" applyNumberFormat="1" applyFont="1" applyBorder="1" applyAlignment="1">
      <alignment horizontal="left" vertical="top" indent="4"/>
    </xf>
    <xf numFmtId="49" fontId="19" fillId="0" borderId="0" xfId="0" applyNumberFormat="1" applyFont="1" applyAlignment="1">
      <alignment vertical="top" wrapText="1"/>
    </xf>
    <xf numFmtId="49" fontId="11" fillId="5" borderId="1" xfId="4" applyNumberFormat="1" applyFont="1" applyFill="1" applyBorder="1" applyAlignment="1">
      <alignment horizontal="left" vertical="center" wrapText="1"/>
    </xf>
    <xf numFmtId="0" fontId="12" fillId="0" borderId="3" xfId="0" applyFont="1" applyFill="1" applyBorder="1"/>
    <xf numFmtId="168" fontId="20" fillId="0" borderId="0" xfId="0" applyNumberFormat="1" applyFont="1" applyAlignment="1">
      <alignment horizontal="right" vertical="top"/>
    </xf>
    <xf numFmtId="15" fontId="19" fillId="0" borderId="1" xfId="0" applyNumberFormat="1" applyFont="1" applyBorder="1" applyAlignment="1">
      <alignment horizontal="right" vertical="top"/>
    </xf>
    <xf numFmtId="168" fontId="21" fillId="0" borderId="1" xfId="0" applyNumberFormat="1" applyFont="1" applyBorder="1" applyAlignment="1">
      <alignment vertical="top"/>
    </xf>
    <xf numFmtId="166" fontId="7" fillId="0" borderId="1" xfId="1" applyNumberFormat="1" applyFont="1" applyBorder="1"/>
    <xf numFmtId="0" fontId="12" fillId="0" borderId="3" xfId="0" quotePrefix="1" applyFont="1" applyFill="1" applyBorder="1" applyAlignment="1">
      <alignment horizontal="center"/>
    </xf>
    <xf numFmtId="0" fontId="10" fillId="0" borderId="3" xfId="0" applyFont="1" applyFill="1" applyBorder="1" applyAlignment="1">
      <alignment horizontal="center"/>
    </xf>
    <xf numFmtId="0" fontId="12" fillId="0" borderId="3" xfId="0" quotePrefix="1" applyFont="1" applyFill="1" applyBorder="1"/>
    <xf numFmtId="0" fontId="12" fillId="0" borderId="3" xfId="0" applyFont="1" applyFill="1" applyBorder="1" applyAlignment="1">
      <alignment horizontal="center"/>
    </xf>
    <xf numFmtId="0" fontId="12" fillId="0" borderId="3" xfId="0" quotePrefix="1" applyFont="1" applyFill="1" applyBorder="1" applyAlignment="1">
      <alignment horizontal="center" wrapText="1"/>
    </xf>
    <xf numFmtId="0" fontId="12" fillId="0" borderId="3" xfId="0" quotePrefix="1" applyFont="1" applyFill="1" applyBorder="1" applyAlignment="1">
      <alignment wrapText="1"/>
    </xf>
    <xf numFmtId="0" fontId="12" fillId="0" borderId="30" xfId="0" applyFont="1" applyBorder="1"/>
    <xf numFmtId="0" fontId="10" fillId="0" borderId="3" xfId="0" applyFont="1" applyFill="1" applyBorder="1"/>
    <xf numFmtId="0" fontId="10" fillId="0" borderId="20" xfId="0" quotePrefix="1" applyFont="1" applyBorder="1" applyAlignment="1">
      <alignment horizontal="center"/>
    </xf>
    <xf numFmtId="0" fontId="12" fillId="0" borderId="20" xfId="0" applyFont="1" applyBorder="1"/>
    <xf numFmtId="0" fontId="10" fillId="0" borderId="14" xfId="0" quotePrefix="1" applyFont="1" applyBorder="1"/>
    <xf numFmtId="0" fontId="10" fillId="0" borderId="14" xfId="0" applyFont="1" applyBorder="1"/>
    <xf numFmtId="166" fontId="10" fillId="0" borderId="14" xfId="1" applyNumberFormat="1" applyFont="1" applyFill="1" applyBorder="1" applyAlignment="1">
      <alignment horizontal="center" vertical="center"/>
    </xf>
    <xf numFmtId="0" fontId="10" fillId="0" borderId="11" xfId="0" quotePrefix="1" applyFont="1" applyBorder="1"/>
    <xf numFmtId="0" fontId="10" fillId="0" borderId="11" xfId="0" applyFont="1" applyBorder="1"/>
    <xf numFmtId="166" fontId="12" fillId="0" borderId="11" xfId="1" applyNumberFormat="1" applyFont="1" applyFill="1" applyBorder="1" applyAlignment="1">
      <alignment horizontal="center" vertical="center"/>
    </xf>
    <xf numFmtId="0" fontId="10" fillId="0" borderId="3" xfId="0" applyFont="1" applyBorder="1"/>
    <xf numFmtId="166" fontId="12" fillId="0" borderId="20" xfId="1" applyNumberFormat="1" applyFont="1" applyFill="1" applyBorder="1" applyAlignment="1">
      <alignment horizontal="center" vertical="center"/>
    </xf>
    <xf numFmtId="0" fontId="12" fillId="0" borderId="30" xfId="0" applyFont="1" applyFill="1" applyBorder="1"/>
    <xf numFmtId="168" fontId="24" fillId="0" borderId="30" xfId="0" applyNumberFormat="1" applyFont="1" applyBorder="1" applyAlignment="1">
      <alignment horizontal="right" vertical="top"/>
    </xf>
    <xf numFmtId="49" fontId="25" fillId="5" borderId="1" xfId="4" applyNumberFormat="1" applyFont="1" applyFill="1" applyBorder="1" applyAlignment="1">
      <alignment horizontal="center" vertical="center"/>
    </xf>
    <xf numFmtId="167" fontId="26" fillId="0" borderId="1" xfId="4" applyNumberFormat="1" applyFont="1" applyBorder="1" applyAlignment="1">
      <alignment horizontal="right" vertical="top"/>
    </xf>
    <xf numFmtId="49" fontId="26" fillId="0" borderId="1" xfId="4" applyNumberFormat="1" applyFont="1" applyBorder="1" applyAlignment="1">
      <alignment vertical="top"/>
    </xf>
    <xf numFmtId="166" fontId="26" fillId="0" borderId="1" xfId="1" applyNumberFormat="1" applyFont="1" applyFill="1" applyBorder="1" applyAlignment="1">
      <alignment horizontal="right" vertical="top"/>
    </xf>
    <xf numFmtId="0" fontId="26" fillId="0" borderId="1" xfId="4" applyFont="1" applyBorder="1"/>
    <xf numFmtId="0" fontId="26" fillId="0" borderId="0" xfId="5" applyFont="1"/>
    <xf numFmtId="167" fontId="26" fillId="0" borderId="1" xfId="6" applyNumberFormat="1" applyFont="1" applyBorder="1" applyAlignment="1">
      <alignment horizontal="left" vertical="top"/>
    </xf>
    <xf numFmtId="49" fontId="26" fillId="0" borderId="1" xfId="6" applyNumberFormat="1" applyFont="1" applyBorder="1" applyAlignment="1">
      <alignment horizontal="left" vertical="top"/>
    </xf>
    <xf numFmtId="0" fontId="26" fillId="0" borderId="1" xfId="5" applyFont="1" applyBorder="1" applyAlignment="1">
      <alignment horizontal="left"/>
    </xf>
    <xf numFmtId="166" fontId="26" fillId="0" borderId="1" xfId="1" applyNumberFormat="1" applyFont="1" applyFill="1" applyBorder="1" applyAlignment="1">
      <alignment horizontal="left" vertical="top"/>
    </xf>
    <xf numFmtId="0" fontId="26" fillId="0" borderId="1" xfId="5" applyFont="1" applyBorder="1"/>
    <xf numFmtId="0" fontId="27" fillId="0" borderId="1" xfId="5" applyFont="1" applyBorder="1"/>
    <xf numFmtId="166" fontId="27" fillId="0" borderId="1" xfId="1" applyNumberFormat="1" applyFont="1" applyFill="1" applyBorder="1"/>
    <xf numFmtId="166" fontId="26" fillId="0" borderId="1" xfId="1" applyNumberFormat="1" applyFont="1" applyBorder="1"/>
    <xf numFmtId="167" fontId="26" fillId="0" borderId="1" xfId="5" applyNumberFormat="1" applyFont="1" applyBorder="1" applyAlignment="1">
      <alignment horizontal="right" vertical="top"/>
    </xf>
    <xf numFmtId="49" fontId="26" fillId="0" borderId="1" xfId="5" applyNumberFormat="1" applyFont="1" applyBorder="1" applyAlignment="1">
      <alignment vertical="top"/>
    </xf>
    <xf numFmtId="166" fontId="26" fillId="0" borderId="1" xfId="1" applyNumberFormat="1" applyFont="1" applyBorder="1" applyAlignment="1">
      <alignment horizontal="right" vertical="top"/>
    </xf>
    <xf numFmtId="169" fontId="26" fillId="0" borderId="1" xfId="1" applyNumberFormat="1" applyFont="1" applyFill="1" applyBorder="1" applyAlignment="1">
      <alignment horizontal="right" vertical="top"/>
    </xf>
    <xf numFmtId="165" fontId="26" fillId="0" borderId="1" xfId="1" applyNumberFormat="1" applyFont="1" applyBorder="1" applyAlignment="1">
      <alignment horizontal="right" vertical="top"/>
    </xf>
    <xf numFmtId="0" fontId="27" fillId="0" borderId="0" xfId="5" applyFont="1"/>
    <xf numFmtId="0" fontId="28" fillId="0" borderId="0" xfId="0" applyFont="1"/>
    <xf numFmtId="49" fontId="27" fillId="0" borderId="1" xfId="5" applyNumberFormat="1" applyFont="1" applyBorder="1" applyAlignment="1">
      <alignment vertical="top"/>
    </xf>
    <xf numFmtId="166" fontId="27" fillId="0" borderId="1" xfId="1" applyNumberFormat="1" applyFont="1" applyFill="1" applyBorder="1" applyAlignment="1">
      <alignment horizontal="right" vertical="top"/>
    </xf>
    <xf numFmtId="167" fontId="26" fillId="0" borderId="0" xfId="5" applyNumberFormat="1" applyFont="1" applyAlignment="1">
      <alignment horizontal="right" vertical="top"/>
    </xf>
    <xf numFmtId="49" fontId="26" fillId="0" borderId="0" xfId="5" applyNumberFormat="1" applyFont="1" applyAlignment="1">
      <alignment vertical="top"/>
    </xf>
    <xf numFmtId="166" fontId="26" fillId="0" borderId="0" xfId="1" applyNumberFormat="1" applyFont="1" applyBorder="1" applyAlignment="1">
      <alignment horizontal="right" vertical="top"/>
    </xf>
    <xf numFmtId="49" fontId="25" fillId="5" borderId="31" xfId="4" applyNumberFormat="1" applyFont="1" applyFill="1" applyBorder="1" applyAlignment="1">
      <alignment horizontal="center" vertical="center"/>
    </xf>
    <xf numFmtId="15" fontId="20" fillId="0" borderId="0" xfId="0" applyNumberFormat="1" applyFont="1" applyAlignment="1">
      <alignment horizontal="right" vertical="top"/>
    </xf>
    <xf numFmtId="166" fontId="28" fillId="0" borderId="0" xfId="0" applyNumberFormat="1" applyFont="1"/>
    <xf numFmtId="49" fontId="27" fillId="0" borderId="0" xfId="5" applyNumberFormat="1" applyFont="1" applyAlignment="1">
      <alignment vertical="top"/>
    </xf>
    <xf numFmtId="166" fontId="27" fillId="0" borderId="0" xfId="1" applyNumberFormat="1" applyFont="1" applyFill="1" applyBorder="1" applyAlignment="1">
      <alignment horizontal="right" vertical="top"/>
    </xf>
    <xf numFmtId="49" fontId="20" fillId="0" borderId="1" xfId="0" applyNumberFormat="1" applyFont="1" applyBorder="1" applyAlignment="1">
      <alignment vertical="top"/>
    </xf>
    <xf numFmtId="166" fontId="20" fillId="0" borderId="1" xfId="1" applyNumberFormat="1" applyFont="1" applyBorder="1" applyAlignment="1">
      <alignment horizontal="right" vertical="top"/>
    </xf>
    <xf numFmtId="0" fontId="12" fillId="0" borderId="12" xfId="0" quotePrefix="1" applyFont="1" applyBorder="1"/>
    <xf numFmtId="0" fontId="12" fillId="0" borderId="0" xfId="0" quotePrefix="1" applyFont="1" applyBorder="1"/>
    <xf numFmtId="166" fontId="21" fillId="0" borderId="1" xfId="1" applyNumberFormat="1" applyFont="1" applyBorder="1" applyAlignment="1">
      <alignment vertical="top"/>
    </xf>
    <xf numFmtId="166" fontId="15" fillId="0" borderId="0" xfId="1" applyNumberFormat="1" applyFont="1"/>
    <xf numFmtId="166" fontId="27" fillId="4" borderId="1" xfId="1" applyNumberFormat="1" applyFont="1" applyFill="1" applyBorder="1" applyAlignment="1">
      <alignment horizontal="left" vertical="top"/>
    </xf>
    <xf numFmtId="166" fontId="27" fillId="4" borderId="1" xfId="1" applyNumberFormat="1" applyFont="1" applyFill="1" applyBorder="1" applyAlignment="1">
      <alignment horizontal="right" vertical="top"/>
    </xf>
    <xf numFmtId="49" fontId="16" fillId="0" borderId="1" xfId="0" applyNumberFormat="1" applyFont="1" applyBorder="1" applyAlignment="1">
      <alignment vertical="top"/>
    </xf>
    <xf numFmtId="49" fontId="29" fillId="0" borderId="1" xfId="0" applyNumberFormat="1" applyFont="1" applyBorder="1" applyAlignment="1">
      <alignment horizontal="left" vertical="top" indent="4"/>
    </xf>
    <xf numFmtId="49" fontId="16" fillId="0" borderId="1" xfId="0" applyNumberFormat="1" applyFont="1" applyBorder="1" applyAlignment="1">
      <alignment vertical="top" wrapText="1"/>
    </xf>
    <xf numFmtId="49" fontId="29" fillId="0" borderId="1" xfId="0" applyNumberFormat="1" applyFont="1" applyBorder="1" applyAlignment="1">
      <alignment horizontal="left" vertical="top" wrapText="1" indent="4"/>
    </xf>
    <xf numFmtId="49" fontId="29" fillId="0" borderId="1" xfId="0" applyNumberFormat="1" applyFont="1" applyBorder="1" applyAlignment="1">
      <alignment horizontal="left" vertical="top" indent="3"/>
    </xf>
    <xf numFmtId="49" fontId="15" fillId="0" borderId="1" xfId="0" applyNumberFormat="1" applyFont="1" applyBorder="1" applyAlignment="1">
      <alignment vertical="top"/>
    </xf>
    <xf numFmtId="49" fontId="15" fillId="0" borderId="0" xfId="0" applyNumberFormat="1" applyFont="1" applyAlignment="1">
      <alignment vertical="top"/>
    </xf>
    <xf numFmtId="168" fontId="15" fillId="0" borderId="0" xfId="0" applyNumberFormat="1" applyFont="1" applyAlignment="1">
      <alignment horizontal="right" vertical="top"/>
    </xf>
    <xf numFmtId="166" fontId="16" fillId="0" borderId="1" xfId="1" applyNumberFormat="1" applyFont="1" applyBorder="1" applyAlignment="1">
      <alignment horizontal="right" vertical="top"/>
    </xf>
    <xf numFmtId="166" fontId="29" fillId="0" borderId="1" xfId="1" applyNumberFormat="1" applyFont="1" applyBorder="1" applyAlignment="1">
      <alignment horizontal="right" vertical="top"/>
    </xf>
    <xf numFmtId="166" fontId="15" fillId="0" borderId="1" xfId="1" applyNumberFormat="1" applyFont="1" applyBorder="1" applyAlignment="1">
      <alignment horizontal="right" vertical="top"/>
    </xf>
    <xf numFmtId="49" fontId="27" fillId="0" borderId="1" xfId="0" applyNumberFormat="1" applyFont="1" applyFill="1" applyBorder="1" applyAlignment="1">
      <alignment horizontal="left" vertical="top"/>
    </xf>
    <xf numFmtId="49" fontId="26" fillId="0" borderId="0" xfId="0" applyNumberFormat="1" applyFont="1" applyFill="1" applyAlignment="1">
      <alignment horizontal="left" vertical="top" indent="3"/>
    </xf>
    <xf numFmtId="49" fontId="26" fillId="0" borderId="0" xfId="0" applyNumberFormat="1" applyFont="1" applyFill="1" applyAlignment="1">
      <alignment horizontal="left" vertical="top" indent="2"/>
    </xf>
    <xf numFmtId="49" fontId="27" fillId="0" borderId="1" xfId="0" applyNumberFormat="1" applyFont="1" applyFill="1" applyBorder="1" applyAlignment="1">
      <alignment vertical="top"/>
    </xf>
    <xf numFmtId="49" fontId="26" fillId="0" borderId="0" xfId="0" applyNumberFormat="1" applyFont="1" applyFill="1" applyAlignment="1">
      <alignment vertical="top"/>
    </xf>
    <xf numFmtId="49" fontId="27" fillId="0" borderId="1" xfId="0" applyNumberFormat="1" applyFont="1" applyFill="1" applyBorder="1" applyAlignment="1">
      <alignment horizontal="left" vertical="top" indent="3"/>
    </xf>
    <xf numFmtId="169" fontId="27" fillId="0" borderId="1" xfId="0" applyNumberFormat="1" applyFont="1" applyFill="1" applyBorder="1" applyAlignment="1">
      <alignment horizontal="right" vertical="top"/>
    </xf>
    <xf numFmtId="0" fontId="28" fillId="0" borderId="0" xfId="0" applyFont="1" applyFill="1"/>
    <xf numFmtId="169" fontId="26" fillId="0" borderId="1" xfId="0" applyNumberFormat="1" applyFont="1" applyFill="1" applyBorder="1" applyAlignment="1">
      <alignment horizontal="right" vertical="top"/>
    </xf>
    <xf numFmtId="169" fontId="26" fillId="0" borderId="0" xfId="0" applyNumberFormat="1" applyFont="1" applyFill="1" applyAlignment="1">
      <alignment horizontal="right" vertical="top"/>
    </xf>
    <xf numFmtId="165" fontId="28" fillId="0" borderId="0" xfId="0" applyNumberFormat="1" applyFont="1" applyFill="1"/>
    <xf numFmtId="169" fontId="27" fillId="0" borderId="0" xfId="0" applyNumberFormat="1" applyFont="1" applyFill="1" applyBorder="1" applyAlignment="1">
      <alignment horizontal="right" vertical="top"/>
    </xf>
    <xf numFmtId="169" fontId="28" fillId="0" borderId="0" xfId="0" applyNumberFormat="1" applyFont="1" applyFill="1"/>
    <xf numFmtId="49" fontId="20" fillId="0" borderId="0" xfId="0" applyNumberFormat="1" applyFont="1" applyFill="1" applyAlignment="1">
      <alignment vertical="top"/>
    </xf>
    <xf numFmtId="168" fontId="20" fillId="0" borderId="0" xfId="0" applyNumberFormat="1" applyFont="1" applyFill="1" applyAlignment="1">
      <alignment horizontal="right" vertical="top"/>
    </xf>
    <xf numFmtId="49" fontId="26" fillId="0" borderId="0" xfId="0" applyNumberFormat="1" applyFont="1" applyFill="1" applyBorder="1" applyAlignment="1">
      <alignment vertical="top"/>
    </xf>
    <xf numFmtId="169" fontId="26" fillId="0" borderId="0" xfId="0" applyNumberFormat="1" applyFont="1" applyFill="1" applyBorder="1" applyAlignment="1">
      <alignment horizontal="right" vertical="top"/>
    </xf>
    <xf numFmtId="169" fontId="16" fillId="0" borderId="1" xfId="0" applyNumberFormat="1" applyFont="1" applyFill="1" applyBorder="1"/>
    <xf numFmtId="2" fontId="28" fillId="0" borderId="0" xfId="0" applyNumberFormat="1" applyFont="1" applyFill="1"/>
    <xf numFmtId="165" fontId="28" fillId="0" borderId="0" xfId="0" applyNumberFormat="1" applyFont="1"/>
    <xf numFmtId="0" fontId="5" fillId="0" borderId="0" xfId="0" applyFont="1" applyFill="1"/>
    <xf numFmtId="0" fontId="5" fillId="0" borderId="1" xfId="0" applyFont="1" applyFill="1" applyBorder="1"/>
    <xf numFmtId="0" fontId="7" fillId="0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43" fontId="15" fillId="0" borderId="0" xfId="0" applyNumberFormat="1" applyFont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horizontal="right"/>
    </xf>
  </cellXfs>
  <cellStyles count="11">
    <cellStyle name="Comma" xfId="1" builtinId="3"/>
    <cellStyle name="Comma 2" xfId="2" xr:uid="{9D54D814-59AC-45F1-971D-F8C4477392A2}"/>
    <cellStyle name="Comma 2 2" xfId="9" xr:uid="{5DDF7684-554C-4939-82D6-3BF6E9D35835}"/>
    <cellStyle name="Comma 3" xfId="7" xr:uid="{5DC358FC-A316-49AB-81BD-BFFD3BE32A67}"/>
    <cellStyle name="Currency 2" xfId="8" xr:uid="{A11F6454-489F-45FA-9087-78054FF1432E}"/>
    <cellStyle name="Normal" xfId="0" builtinId="0"/>
    <cellStyle name="Normal 2" xfId="3" xr:uid="{3AFDF3C3-8E84-4A07-AEFF-32B89FC811AA}"/>
    <cellStyle name="Normal 2 2" xfId="5" xr:uid="{34C384C5-2003-480D-AB34-BF8757DDB628}"/>
    <cellStyle name="Normal 2 2 2" xfId="10" xr:uid="{5164A0BF-DD6D-4ADE-ACB8-72B08C467E07}"/>
    <cellStyle name="Normal 3" xfId="4" xr:uid="{6E4138C9-8AA9-4A88-8068-2ACF5FCFFCC0}"/>
    <cellStyle name="Normal 3 2" xfId="6" xr:uid="{E65AF57F-E8EF-4391-8537-B7E8CC4352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12290-3E82-4146-BC4C-F3ACC2E156C9}">
  <sheetPr>
    <pageSetUpPr fitToPage="1"/>
  </sheetPr>
  <dimension ref="B1:T58"/>
  <sheetViews>
    <sheetView showGridLines="0" tabSelected="1" zoomScale="85" zoomScaleNormal="85" workbookViewId="0">
      <selection activeCell="E47" sqref="E47"/>
    </sheetView>
  </sheetViews>
  <sheetFormatPr defaultColWidth="8.90625" defaultRowHeight="15.5" x14ac:dyDescent="0.35"/>
  <cols>
    <col min="1" max="1" width="11.7265625" style="47" bestFit="1" customWidth="1"/>
    <col min="2" max="2" width="52.90625" style="47" customWidth="1"/>
    <col min="3" max="3" width="4.453125" style="48" bestFit="1" customWidth="1"/>
    <col min="4" max="4" width="14.453125" style="49" bestFit="1" customWidth="1"/>
    <col min="5" max="5" width="43.453125" style="47" customWidth="1"/>
    <col min="6" max="6" width="4.453125" style="48" bestFit="1" customWidth="1"/>
    <col min="7" max="7" width="14.453125" style="49" bestFit="1" customWidth="1"/>
    <col min="8" max="9" width="16" style="47" bestFit="1" customWidth="1"/>
    <col min="10" max="10" width="47.26953125" style="47" hidden="1" customWidth="1"/>
    <col min="11" max="11" width="15.6328125" style="47" hidden="1" customWidth="1"/>
    <col min="12" max="12" width="14.90625" style="47" hidden="1" customWidth="1"/>
    <col min="13" max="13" width="38.6328125" style="47" hidden="1" customWidth="1"/>
    <col min="14" max="15" width="16" style="47" hidden="1" customWidth="1"/>
    <col min="16" max="17" width="16.7265625" style="47" bestFit="1" customWidth="1"/>
    <col min="18" max="18" width="11.7265625" style="47" bestFit="1" customWidth="1"/>
    <col min="19" max="19" width="9.54296875" style="47" bestFit="1" customWidth="1"/>
    <col min="20" max="20" width="11.7265625" style="47" bestFit="1" customWidth="1"/>
    <col min="21" max="16384" width="8.90625" style="47"/>
  </cols>
  <sheetData>
    <row r="1" spans="2:15" ht="16" thickBot="1" x14ac:dyDescent="0.4"/>
    <row r="2" spans="2:15" ht="20" x14ac:dyDescent="0.4">
      <c r="B2" s="203" t="s">
        <v>0</v>
      </c>
      <c r="C2" s="204"/>
      <c r="D2" s="204"/>
      <c r="E2" s="204"/>
      <c r="F2" s="204"/>
      <c r="G2" s="205"/>
      <c r="J2" s="203" t="s">
        <v>0</v>
      </c>
      <c r="K2" s="204"/>
      <c r="L2" s="204"/>
      <c r="M2" s="204"/>
      <c r="N2" s="204"/>
      <c r="O2" s="205"/>
    </row>
    <row r="3" spans="2:15" ht="20" x14ac:dyDescent="0.4">
      <c r="B3" s="206" t="s">
        <v>590</v>
      </c>
      <c r="C3" s="207"/>
      <c r="D3" s="207"/>
      <c r="E3" s="207"/>
      <c r="F3" s="207"/>
      <c r="G3" s="208"/>
      <c r="J3" s="206" t="s">
        <v>333</v>
      </c>
      <c r="K3" s="207"/>
      <c r="L3" s="207"/>
      <c r="M3" s="207"/>
      <c r="N3" s="207"/>
      <c r="O3" s="208"/>
    </row>
    <row r="4" spans="2:15" ht="16" thickBot="1" x14ac:dyDescent="0.4">
      <c r="B4" s="71"/>
      <c r="C4" s="72"/>
      <c r="D4" s="73"/>
      <c r="E4" s="74"/>
      <c r="F4" s="72"/>
      <c r="G4" s="75"/>
      <c r="J4" s="71"/>
      <c r="K4" s="72"/>
      <c r="L4" s="73"/>
      <c r="M4" s="74"/>
      <c r="N4" s="72"/>
      <c r="O4" s="75"/>
    </row>
    <row r="5" spans="2:15" s="50" customFormat="1" thickBot="1" x14ac:dyDescent="0.4">
      <c r="B5" s="76" t="s">
        <v>1</v>
      </c>
      <c r="C5" s="76" t="s">
        <v>37</v>
      </c>
      <c r="D5" s="77" t="s">
        <v>2</v>
      </c>
      <c r="E5" s="76" t="s">
        <v>1</v>
      </c>
      <c r="F5" s="76" t="s">
        <v>37</v>
      </c>
      <c r="G5" s="77" t="s">
        <v>2</v>
      </c>
      <c r="J5" s="133" t="s">
        <v>1</v>
      </c>
      <c r="K5" s="133" t="s">
        <v>342</v>
      </c>
      <c r="L5" s="134" t="s">
        <v>343</v>
      </c>
      <c r="M5" s="135" t="s">
        <v>1</v>
      </c>
      <c r="N5" s="133" t="s">
        <v>342</v>
      </c>
      <c r="O5" s="134" t="s">
        <v>343</v>
      </c>
    </row>
    <row r="6" spans="2:15" x14ac:dyDescent="0.35">
      <c r="B6" s="119" t="s">
        <v>13</v>
      </c>
      <c r="C6" s="51"/>
      <c r="D6" s="168"/>
      <c r="E6" s="119" t="s">
        <v>12</v>
      </c>
      <c r="F6" s="184"/>
      <c r="G6" s="179"/>
      <c r="H6" s="52"/>
      <c r="J6" s="119" t="s">
        <v>13</v>
      </c>
      <c r="K6" s="145"/>
      <c r="L6" s="70"/>
      <c r="M6" s="84" t="s">
        <v>12</v>
      </c>
      <c r="N6" s="141"/>
      <c r="O6" s="82"/>
    </row>
    <row r="7" spans="2:15" x14ac:dyDescent="0.35">
      <c r="B7" s="120"/>
      <c r="C7" s="53"/>
      <c r="D7" s="168"/>
      <c r="E7" s="120"/>
      <c r="F7" s="53"/>
      <c r="G7" s="180"/>
      <c r="H7" s="52"/>
      <c r="J7" s="132"/>
      <c r="K7" s="147"/>
      <c r="L7" s="132"/>
      <c r="M7" s="136"/>
      <c r="N7" s="132"/>
      <c r="O7" s="137"/>
    </row>
    <row r="8" spans="2:15" s="34" customFormat="1" x14ac:dyDescent="0.35">
      <c r="B8" s="121" t="s">
        <v>18</v>
      </c>
      <c r="C8" s="51"/>
      <c r="D8" s="169"/>
      <c r="E8" s="121" t="s">
        <v>14</v>
      </c>
      <c r="F8" s="51"/>
      <c r="G8" s="180"/>
      <c r="H8" s="98"/>
      <c r="J8" s="129" t="s">
        <v>18</v>
      </c>
      <c r="K8" s="148"/>
      <c r="L8" s="52"/>
      <c r="M8" s="130" t="s">
        <v>14</v>
      </c>
      <c r="N8" s="142"/>
      <c r="O8" s="131"/>
    </row>
    <row r="9" spans="2:15" x14ac:dyDescent="0.35">
      <c r="B9" s="122" t="s">
        <v>259</v>
      </c>
      <c r="C9" s="56" t="s">
        <v>47</v>
      </c>
      <c r="D9" s="168">
        <f>A!E21</f>
        <v>5783888.5600000005</v>
      </c>
      <c r="E9" s="231" t="s">
        <v>15</v>
      </c>
      <c r="F9" s="229" t="s">
        <v>297</v>
      </c>
      <c r="G9" s="181">
        <f>L!E27</f>
        <v>3215000</v>
      </c>
      <c r="H9" s="173"/>
      <c r="I9" s="57"/>
      <c r="J9" s="122" t="s">
        <v>259</v>
      </c>
      <c r="K9" s="166"/>
      <c r="L9" s="70"/>
      <c r="M9" s="87" t="s">
        <v>15</v>
      </c>
      <c r="N9" s="143">
        <v>0</v>
      </c>
      <c r="O9" s="105">
        <v>3215000</v>
      </c>
    </row>
    <row r="10" spans="2:15" x14ac:dyDescent="0.35">
      <c r="B10" s="122" t="s">
        <v>244</v>
      </c>
      <c r="C10" s="56" t="s">
        <v>313</v>
      </c>
      <c r="D10" s="168">
        <f>B!E223</f>
        <v>384012718.86000001</v>
      </c>
      <c r="E10" s="231" t="s">
        <v>260</v>
      </c>
      <c r="F10" s="229" t="s">
        <v>297</v>
      </c>
      <c r="G10" s="181">
        <f>L!E46</f>
        <v>64825000</v>
      </c>
      <c r="H10" s="52"/>
      <c r="I10" s="57"/>
      <c r="J10" s="122" t="s">
        <v>244</v>
      </c>
      <c r="K10" s="166"/>
      <c r="L10" s="70"/>
      <c r="M10" s="87" t="s">
        <v>260</v>
      </c>
      <c r="N10" s="143">
        <v>0</v>
      </c>
      <c r="O10" s="105">
        <v>64825000</v>
      </c>
    </row>
    <row r="11" spans="2:15" x14ac:dyDescent="0.35">
      <c r="B11" s="122" t="s">
        <v>246</v>
      </c>
      <c r="C11" s="56" t="s">
        <v>48</v>
      </c>
      <c r="D11" s="168">
        <f>'C'!E11</f>
        <v>29301905</v>
      </c>
      <c r="E11" s="231" t="s">
        <v>261</v>
      </c>
      <c r="F11" s="229" t="s">
        <v>297</v>
      </c>
      <c r="G11" s="181">
        <f>L!E159</f>
        <v>322750000</v>
      </c>
      <c r="H11" s="173"/>
      <c r="I11" s="57"/>
      <c r="J11" s="122" t="s">
        <v>246</v>
      </c>
      <c r="K11" s="166"/>
      <c r="L11" s="70"/>
      <c r="M11" s="87" t="s">
        <v>261</v>
      </c>
      <c r="N11" s="143">
        <v>0</v>
      </c>
      <c r="O11" s="105">
        <v>204050000</v>
      </c>
    </row>
    <row r="12" spans="2:15" x14ac:dyDescent="0.35">
      <c r="B12" s="122" t="s">
        <v>245</v>
      </c>
      <c r="C12" s="56" t="s">
        <v>52</v>
      </c>
      <c r="D12" s="168">
        <f>D!E40</f>
        <v>1678386.86</v>
      </c>
      <c r="E12" s="231" t="s">
        <v>262</v>
      </c>
      <c r="F12" s="229" t="s">
        <v>297</v>
      </c>
      <c r="G12" s="181">
        <f>L!E57</f>
        <v>3001000</v>
      </c>
      <c r="H12" s="173"/>
      <c r="I12" s="57"/>
      <c r="J12" s="122" t="s">
        <v>245</v>
      </c>
      <c r="K12" s="166"/>
      <c r="L12" s="70"/>
      <c r="M12" s="87" t="s">
        <v>262</v>
      </c>
      <c r="N12" s="143">
        <v>0</v>
      </c>
      <c r="O12" s="105">
        <v>3001000</v>
      </c>
    </row>
    <row r="13" spans="2:15" x14ac:dyDescent="0.35">
      <c r="B13" s="122" t="s">
        <v>288</v>
      </c>
      <c r="C13" s="56" t="s">
        <v>312</v>
      </c>
      <c r="D13" s="168">
        <f>E!E14</f>
        <v>721959.47</v>
      </c>
      <c r="E13" s="231" t="s">
        <v>275</v>
      </c>
      <c r="F13" s="230" t="s">
        <v>314</v>
      </c>
      <c r="G13" s="181">
        <v>100000</v>
      </c>
      <c r="H13" s="173"/>
      <c r="I13" s="117"/>
      <c r="J13" s="122" t="s">
        <v>288</v>
      </c>
      <c r="K13" s="166"/>
      <c r="L13" s="70"/>
      <c r="M13" s="87" t="s">
        <v>275</v>
      </c>
      <c r="N13" s="143">
        <v>100000</v>
      </c>
      <c r="O13" s="105">
        <v>0</v>
      </c>
    </row>
    <row r="14" spans="2:15" ht="17" x14ac:dyDescent="0.35">
      <c r="B14" s="122" t="s">
        <v>311</v>
      </c>
      <c r="C14" s="56" t="s">
        <v>46</v>
      </c>
      <c r="D14" s="168">
        <f>F!E167</f>
        <v>22192114.75</v>
      </c>
      <c r="E14" s="122"/>
      <c r="F14" s="51"/>
      <c r="G14" s="181"/>
      <c r="H14" s="52"/>
      <c r="J14" s="122"/>
      <c r="K14" s="166"/>
      <c r="L14" s="70"/>
      <c r="M14" s="87"/>
      <c r="N14" s="143"/>
      <c r="O14" s="151"/>
    </row>
    <row r="15" spans="2:15" ht="17" x14ac:dyDescent="0.35">
      <c r="B15" s="122" t="s">
        <v>585</v>
      </c>
      <c r="C15" s="56" t="s">
        <v>586</v>
      </c>
      <c r="D15" s="168">
        <f>N!E20</f>
        <v>14553723</v>
      </c>
      <c r="E15" s="122"/>
      <c r="F15" s="51"/>
      <c r="G15" s="181"/>
      <c r="H15" s="52"/>
      <c r="J15" s="122"/>
      <c r="K15" s="166"/>
      <c r="L15" s="70"/>
      <c r="M15" s="87"/>
      <c r="N15" s="143"/>
      <c r="O15" s="151"/>
    </row>
    <row r="16" spans="2:15" ht="17" x14ac:dyDescent="0.35">
      <c r="B16" s="122" t="s">
        <v>523</v>
      </c>
      <c r="C16" s="56" t="s">
        <v>314</v>
      </c>
      <c r="D16" s="168">
        <v>229500</v>
      </c>
      <c r="E16" s="122"/>
      <c r="F16" s="51"/>
      <c r="G16" s="181"/>
      <c r="H16" s="52"/>
      <c r="J16" s="122"/>
      <c r="K16" s="166"/>
      <c r="L16" s="70"/>
      <c r="M16" s="87"/>
      <c r="N16" s="143"/>
      <c r="O16" s="151"/>
    </row>
    <row r="17" spans="2:20" x14ac:dyDescent="0.35">
      <c r="B17" s="122" t="s">
        <v>330</v>
      </c>
      <c r="C17" s="56" t="s">
        <v>314</v>
      </c>
      <c r="D17" s="168">
        <v>76717813.290000007</v>
      </c>
      <c r="E17" s="120"/>
      <c r="F17" s="53"/>
      <c r="G17" s="180"/>
      <c r="H17" s="52"/>
      <c r="J17" s="122"/>
      <c r="K17" s="167"/>
      <c r="L17" s="70"/>
      <c r="M17" s="85"/>
      <c r="N17" s="142"/>
      <c r="O17" s="83"/>
    </row>
    <row r="18" spans="2:20" x14ac:dyDescent="0.35">
      <c r="B18" s="231" t="s">
        <v>326</v>
      </c>
      <c r="C18" s="56" t="s">
        <v>314</v>
      </c>
      <c r="D18" s="168">
        <f>5466669.46</f>
        <v>5466669.46</v>
      </c>
      <c r="E18" s="120"/>
      <c r="F18" s="53"/>
      <c r="G18" s="180"/>
      <c r="H18" s="52"/>
      <c r="I18" s="58"/>
      <c r="J18" s="122"/>
      <c r="K18" s="149"/>
      <c r="L18" s="70"/>
      <c r="M18" s="85"/>
      <c r="N18" s="142"/>
      <c r="O18" s="83"/>
    </row>
    <row r="19" spans="2:20" x14ac:dyDescent="0.35">
      <c r="B19" s="231" t="s">
        <v>557</v>
      </c>
      <c r="C19" s="56" t="s">
        <v>314</v>
      </c>
      <c r="D19" s="168">
        <v>-2571905</v>
      </c>
      <c r="E19" s="120"/>
      <c r="F19" s="53"/>
      <c r="G19" s="180"/>
      <c r="H19" s="52"/>
      <c r="I19" s="58"/>
      <c r="J19" s="122"/>
      <c r="K19" s="149"/>
      <c r="L19" s="70"/>
      <c r="M19" s="85"/>
      <c r="N19" s="142"/>
      <c r="O19" s="83"/>
    </row>
    <row r="20" spans="2:20" x14ac:dyDescent="0.35">
      <c r="B20" s="122"/>
      <c r="C20" s="53"/>
      <c r="D20" s="168"/>
      <c r="E20" s="235"/>
      <c r="F20" s="235"/>
      <c r="G20" s="235"/>
      <c r="H20" s="52"/>
      <c r="I20" s="58"/>
      <c r="J20" s="123"/>
      <c r="K20" s="145"/>
      <c r="L20" s="70"/>
      <c r="M20" s="86"/>
      <c r="N20" s="143"/>
      <c r="O20" s="105"/>
    </row>
    <row r="21" spans="2:20" s="34" customFormat="1" x14ac:dyDescent="0.35">
      <c r="B21" s="121" t="s">
        <v>263</v>
      </c>
      <c r="C21" s="53"/>
      <c r="D21" s="168"/>
      <c r="E21" s="121" t="s">
        <v>38</v>
      </c>
      <c r="F21" s="51"/>
      <c r="G21" s="181"/>
      <c r="H21" s="52"/>
      <c r="I21" s="58"/>
      <c r="J21" s="122"/>
      <c r="K21" s="150"/>
      <c r="L21" s="70"/>
      <c r="M21" s="87"/>
      <c r="N21" s="143"/>
      <c r="O21" s="105"/>
      <c r="T21" s="47"/>
    </row>
    <row r="22" spans="2:20" s="34" customFormat="1" x14ac:dyDescent="0.35">
      <c r="B22" s="231" t="s">
        <v>266</v>
      </c>
      <c r="C22" s="232" t="s">
        <v>49</v>
      </c>
      <c r="D22" s="168">
        <f>H!C57</f>
        <v>18784302.009999998</v>
      </c>
      <c r="E22" s="231" t="s">
        <v>346</v>
      </c>
      <c r="F22" s="229" t="s">
        <v>297</v>
      </c>
      <c r="G22" s="181">
        <f>L!E210</f>
        <v>315990855</v>
      </c>
      <c r="H22" s="52"/>
      <c r="I22" s="58"/>
      <c r="J22" s="122"/>
      <c r="K22" s="150"/>
      <c r="L22" s="70"/>
      <c r="M22" s="85"/>
      <c r="N22" s="142"/>
      <c r="O22" s="83"/>
    </row>
    <row r="23" spans="2:20" s="34" customFormat="1" x14ac:dyDescent="0.35">
      <c r="B23" s="231" t="s">
        <v>267</v>
      </c>
      <c r="C23" s="232" t="s">
        <v>322</v>
      </c>
      <c r="D23" s="168">
        <f>'H1'!C62</f>
        <v>-20347707.920000009</v>
      </c>
      <c r="E23" s="231" t="s">
        <v>347</v>
      </c>
      <c r="F23" s="232" t="s">
        <v>314</v>
      </c>
      <c r="G23" s="180">
        <v>-4490</v>
      </c>
      <c r="H23" s="52"/>
      <c r="I23" s="101"/>
      <c r="J23" s="122"/>
      <c r="K23" s="149"/>
      <c r="L23" s="70"/>
      <c r="M23" s="85"/>
      <c r="N23" s="142"/>
      <c r="O23" s="83"/>
      <c r="P23" s="101"/>
    </row>
    <row r="24" spans="2:20" x14ac:dyDescent="0.35">
      <c r="B24" s="224"/>
      <c r="C24" s="232"/>
      <c r="D24" s="168"/>
      <c r="E24" s="120"/>
      <c r="F24" s="53"/>
      <c r="G24" s="180"/>
      <c r="H24" s="52"/>
      <c r="J24" s="121" t="s">
        <v>263</v>
      </c>
      <c r="K24" s="149"/>
      <c r="L24" s="70"/>
      <c r="M24" s="86" t="s">
        <v>264</v>
      </c>
      <c r="N24" s="142"/>
      <c r="O24" s="83"/>
      <c r="P24" s="58"/>
    </row>
    <row r="25" spans="2:20" x14ac:dyDescent="0.35">
      <c r="B25" s="120"/>
      <c r="C25" s="53"/>
      <c r="D25" s="168"/>
      <c r="E25" s="235"/>
      <c r="F25" s="235"/>
      <c r="G25" s="235"/>
      <c r="H25" s="173"/>
      <c r="I25" s="99"/>
      <c r="J25" s="122" t="s">
        <v>266</v>
      </c>
      <c r="K25" s="149">
        <v>0</v>
      </c>
      <c r="L25" s="70">
        <v>54657319.640000001</v>
      </c>
      <c r="M25" s="87" t="s">
        <v>271</v>
      </c>
      <c r="N25" s="142"/>
      <c r="O25" s="118"/>
    </row>
    <row r="26" spans="2:20" x14ac:dyDescent="0.35">
      <c r="B26" s="121" t="s">
        <v>19</v>
      </c>
      <c r="C26" s="51"/>
      <c r="D26" s="168"/>
      <c r="E26" s="121" t="s">
        <v>264</v>
      </c>
      <c r="F26" s="53"/>
      <c r="G26" s="180"/>
      <c r="J26" s="122" t="s">
        <v>267</v>
      </c>
      <c r="K26" s="149">
        <v>0</v>
      </c>
      <c r="L26" s="70">
        <v>-6279020</v>
      </c>
      <c r="M26" s="87" t="s">
        <v>285</v>
      </c>
      <c r="N26" s="143">
        <v>1741</v>
      </c>
      <c r="O26" s="105"/>
    </row>
    <row r="27" spans="2:20" x14ac:dyDescent="0.35">
      <c r="B27" s="234" t="s">
        <v>522</v>
      </c>
      <c r="C27" s="229" t="s">
        <v>314</v>
      </c>
      <c r="D27" s="168">
        <v>-99242</v>
      </c>
      <c r="E27" s="231" t="s">
        <v>271</v>
      </c>
      <c r="F27" s="229" t="s">
        <v>314</v>
      </c>
      <c r="G27" s="182">
        <v>3234701</v>
      </c>
      <c r="H27" s="52"/>
      <c r="J27" s="120"/>
      <c r="K27" s="149"/>
      <c r="L27" s="70"/>
      <c r="M27" s="87"/>
      <c r="N27" s="142"/>
      <c r="O27" s="83"/>
    </row>
    <row r="28" spans="2:20" x14ac:dyDescent="0.35">
      <c r="B28" s="231" t="s">
        <v>309</v>
      </c>
      <c r="C28" s="229" t="s">
        <v>82</v>
      </c>
      <c r="D28" s="168">
        <f>I!C143</f>
        <v>37913500.93</v>
      </c>
      <c r="E28" s="231" t="s">
        <v>285</v>
      </c>
      <c r="F28" s="229" t="s">
        <v>314</v>
      </c>
      <c r="G28" s="181">
        <f>6177+1741+9404.8+94.4</f>
        <v>17417.2</v>
      </c>
      <c r="H28" s="52"/>
      <c r="J28" s="120"/>
      <c r="K28" s="149"/>
      <c r="L28" s="70"/>
      <c r="M28" s="87"/>
      <c r="N28" s="142"/>
      <c r="O28" s="83"/>
    </row>
    <row r="29" spans="2:20" x14ac:dyDescent="0.35">
      <c r="B29" s="231" t="s">
        <v>310</v>
      </c>
      <c r="C29" s="229" t="s">
        <v>323</v>
      </c>
      <c r="D29" s="168">
        <f>'I1'!C94</f>
        <v>21223617.169999998</v>
      </c>
      <c r="E29" s="231"/>
      <c r="F29" s="232"/>
      <c r="G29" s="180"/>
      <c r="H29" s="52"/>
      <c r="I29" s="100"/>
      <c r="J29" s="121" t="s">
        <v>19</v>
      </c>
      <c r="K29" s="145"/>
      <c r="L29" s="70"/>
      <c r="M29" s="86" t="s">
        <v>258</v>
      </c>
      <c r="N29" s="143"/>
      <c r="O29" s="105"/>
    </row>
    <row r="30" spans="2:20" x14ac:dyDescent="0.35">
      <c r="B30" s="231" t="s">
        <v>321</v>
      </c>
      <c r="C30" s="229" t="s">
        <v>318</v>
      </c>
      <c r="D30" s="168">
        <f>J!D17</f>
        <v>2578582.77</v>
      </c>
      <c r="E30" s="247"/>
      <c r="F30" s="247"/>
      <c r="G30" s="247"/>
      <c r="H30" s="52"/>
      <c r="I30" s="54"/>
      <c r="J30" s="124" t="s">
        <v>334</v>
      </c>
      <c r="K30" s="146"/>
      <c r="L30" s="70">
        <v>-1342841</v>
      </c>
      <c r="M30" s="113" t="s">
        <v>272</v>
      </c>
      <c r="N30" s="142">
        <v>-14391</v>
      </c>
      <c r="O30" s="83"/>
    </row>
    <row r="31" spans="2:20" x14ac:dyDescent="0.35">
      <c r="B31" s="231" t="s">
        <v>556</v>
      </c>
      <c r="C31" s="229" t="s">
        <v>314</v>
      </c>
      <c r="D31" s="168">
        <v>-20375457.59</v>
      </c>
      <c r="E31" s="247"/>
      <c r="F31" s="247"/>
      <c r="G31" s="247"/>
      <c r="H31" s="52"/>
      <c r="J31" s="122" t="s">
        <v>309</v>
      </c>
      <c r="K31" s="146">
        <v>0</v>
      </c>
      <c r="L31" s="70">
        <f>40757772.43-45892.59</f>
        <v>40711879.839999996</v>
      </c>
      <c r="M31" s="88"/>
      <c r="N31" s="142"/>
      <c r="O31" s="83"/>
    </row>
    <row r="32" spans="2:20" x14ac:dyDescent="0.35">
      <c r="B32" s="122"/>
      <c r="C32" s="56"/>
      <c r="D32" s="168"/>
      <c r="E32" s="236"/>
      <c r="F32" s="53"/>
      <c r="G32" s="180"/>
      <c r="H32" s="52"/>
      <c r="J32" s="122"/>
      <c r="K32" s="146"/>
      <c r="L32" s="70"/>
      <c r="M32" s="88"/>
      <c r="N32" s="142"/>
      <c r="O32" s="83"/>
    </row>
    <row r="33" spans="2:15" x14ac:dyDescent="0.35">
      <c r="B33" s="121" t="s">
        <v>456</v>
      </c>
      <c r="C33" s="51"/>
      <c r="D33" s="181"/>
      <c r="E33" s="121" t="s">
        <v>258</v>
      </c>
      <c r="F33" s="51"/>
      <c r="G33" s="181"/>
      <c r="H33" s="52"/>
      <c r="J33" s="122" t="s">
        <v>310</v>
      </c>
      <c r="K33" s="166">
        <f>20996305.25-74787.76</f>
        <v>20921517.489999998</v>
      </c>
      <c r="L33" s="70"/>
      <c r="M33" s="85"/>
      <c r="N33" s="142"/>
      <c r="O33" s="83"/>
    </row>
    <row r="34" spans="2:15" x14ac:dyDescent="0.35">
      <c r="B34" s="234" t="s">
        <v>462</v>
      </c>
      <c r="C34" s="233" t="s">
        <v>455</v>
      </c>
      <c r="D34" s="180">
        <f>G!C19</f>
        <v>28162668.699999999</v>
      </c>
      <c r="E34" s="234" t="s">
        <v>272</v>
      </c>
      <c r="F34" s="233" t="s">
        <v>320</v>
      </c>
      <c r="G34" s="180">
        <f>M!G16</f>
        <v>8483.0899999999965</v>
      </c>
      <c r="H34" s="52"/>
      <c r="I34" s="100"/>
      <c r="J34" s="122" t="s">
        <v>321</v>
      </c>
      <c r="K34" s="146">
        <v>1000</v>
      </c>
      <c r="L34" s="70">
        <f>-184097+319483-(37243-285556-56250)</f>
        <v>439949</v>
      </c>
      <c r="M34" s="85"/>
      <c r="N34" s="142"/>
      <c r="O34" s="83"/>
    </row>
    <row r="35" spans="2:15" x14ac:dyDescent="0.35">
      <c r="B35" s="124"/>
      <c r="C35" s="185"/>
      <c r="D35" s="180"/>
      <c r="E35" s="120"/>
      <c r="F35" s="53"/>
      <c r="G35" s="180"/>
      <c r="H35" s="52"/>
      <c r="J35" s="122"/>
      <c r="K35" s="146"/>
      <c r="L35" s="70"/>
      <c r="M35" s="85"/>
      <c r="N35" s="142"/>
      <c r="O35" s="83"/>
    </row>
    <row r="36" spans="2:15" x14ac:dyDescent="0.35">
      <c r="B36" s="123" t="s">
        <v>265</v>
      </c>
      <c r="C36" s="56"/>
      <c r="D36" s="168"/>
      <c r="E36" s="120"/>
      <c r="F36" s="53"/>
      <c r="G36" s="180"/>
      <c r="H36" s="52"/>
      <c r="J36" s="122" t="s">
        <v>327</v>
      </c>
      <c r="K36" s="146">
        <v>-20192877.329999998</v>
      </c>
      <c r="L36" s="70"/>
      <c r="M36" s="85"/>
      <c r="N36" s="142"/>
      <c r="O36" s="83"/>
    </row>
    <row r="37" spans="2:15" x14ac:dyDescent="0.35">
      <c r="B37" s="231" t="s">
        <v>463</v>
      </c>
      <c r="C37" s="232" t="s">
        <v>314</v>
      </c>
      <c r="D37" s="168">
        <v>59061713.359999999</v>
      </c>
      <c r="E37" s="120"/>
      <c r="F37" s="53"/>
      <c r="G37" s="180"/>
      <c r="H37" s="52"/>
      <c r="I37" s="100"/>
      <c r="J37" s="122"/>
      <c r="K37" s="146"/>
      <c r="L37" s="70"/>
      <c r="M37" s="85"/>
      <c r="N37" s="142"/>
      <c r="O37" s="83"/>
    </row>
    <row r="38" spans="2:15" x14ac:dyDescent="0.35">
      <c r="B38" s="231" t="s">
        <v>464</v>
      </c>
      <c r="C38" s="232" t="s">
        <v>314</v>
      </c>
      <c r="D38" s="168">
        <f>750805.25-1500</f>
        <v>749305.25</v>
      </c>
      <c r="E38" s="120"/>
      <c r="F38" s="53"/>
      <c r="G38" s="180"/>
      <c r="H38" s="52"/>
      <c r="I38" s="100"/>
      <c r="J38" s="122"/>
      <c r="K38" s="146"/>
      <c r="L38" s="70"/>
      <c r="M38" s="85"/>
      <c r="N38" s="142"/>
      <c r="O38" s="83"/>
    </row>
    <row r="39" spans="2:15" x14ac:dyDescent="0.35">
      <c r="B39" s="231" t="s">
        <v>555</v>
      </c>
      <c r="C39" s="232" t="s">
        <v>318</v>
      </c>
      <c r="D39" s="168">
        <f>J!D6</f>
        <v>446.26</v>
      </c>
      <c r="E39" s="120"/>
      <c r="F39" s="53"/>
      <c r="G39" s="180"/>
      <c r="H39" s="52"/>
      <c r="J39" s="125"/>
      <c r="K39" s="146"/>
      <c r="L39" s="70"/>
      <c r="M39" s="85"/>
      <c r="N39" s="142"/>
      <c r="O39" s="83"/>
    </row>
    <row r="40" spans="2:15" x14ac:dyDescent="0.35">
      <c r="B40" s="120"/>
      <c r="C40" s="53"/>
      <c r="D40" s="168"/>
      <c r="E40" s="120"/>
      <c r="F40" s="53"/>
      <c r="G40" s="181"/>
      <c r="H40" s="52"/>
      <c r="I40" s="52"/>
      <c r="J40" s="123" t="s">
        <v>265</v>
      </c>
      <c r="K40" s="146"/>
      <c r="L40" s="70"/>
      <c r="M40" s="85"/>
      <c r="N40" s="143"/>
      <c r="O40" s="105"/>
    </row>
    <row r="41" spans="2:15" x14ac:dyDescent="0.35">
      <c r="B41" s="121" t="s">
        <v>35</v>
      </c>
      <c r="C41" s="51"/>
      <c r="D41" s="168"/>
      <c r="E41" s="120"/>
      <c r="F41" s="53"/>
      <c r="G41" s="180"/>
      <c r="H41" s="128"/>
      <c r="I41" s="54"/>
      <c r="J41" s="122" t="s">
        <v>268</v>
      </c>
      <c r="K41" s="128">
        <f>729291.76-1500</f>
        <v>727791.76</v>
      </c>
      <c r="L41" s="70"/>
      <c r="M41" s="85"/>
      <c r="N41" s="142"/>
      <c r="O41" s="83"/>
    </row>
    <row r="42" spans="2:15" x14ac:dyDescent="0.35">
      <c r="B42" s="231" t="s">
        <v>558</v>
      </c>
      <c r="C42" s="229" t="s">
        <v>314</v>
      </c>
      <c r="D42" s="168">
        <v>42633626.840000004</v>
      </c>
      <c r="E42" s="120"/>
      <c r="F42" s="53"/>
      <c r="G42" s="181"/>
      <c r="H42" s="52"/>
      <c r="J42" s="122" t="s">
        <v>269</v>
      </c>
      <c r="K42" s="149"/>
      <c r="L42" s="70"/>
      <c r="M42" s="85"/>
      <c r="N42" s="143"/>
      <c r="O42" s="105"/>
    </row>
    <row r="43" spans="2:15" x14ac:dyDescent="0.35">
      <c r="B43" s="231" t="s">
        <v>107</v>
      </c>
      <c r="C43" s="229" t="s">
        <v>314</v>
      </c>
      <c r="D43" s="168">
        <f>2622918.45-1116073</f>
        <v>1506845.4500000002</v>
      </c>
      <c r="E43" s="120"/>
      <c r="F43" s="53"/>
      <c r="G43" s="181"/>
      <c r="H43" s="52"/>
      <c r="I43" s="54"/>
      <c r="J43" s="120"/>
      <c r="K43" s="149"/>
      <c r="L43" s="70"/>
      <c r="M43" s="85"/>
      <c r="N43" s="143"/>
      <c r="O43" s="105"/>
    </row>
    <row r="44" spans="2:15" x14ac:dyDescent="0.35">
      <c r="B44" s="231" t="s">
        <v>36</v>
      </c>
      <c r="C44" s="229" t="s">
        <v>314</v>
      </c>
      <c r="D44" s="168">
        <v>3251874</v>
      </c>
      <c r="E44" s="120"/>
      <c r="F44" s="53"/>
      <c r="G44" s="181"/>
      <c r="H44" s="52"/>
      <c r="J44" s="121" t="s">
        <v>35</v>
      </c>
      <c r="K44" s="145"/>
      <c r="L44" s="70"/>
      <c r="M44" s="85"/>
      <c r="N44" s="143"/>
      <c r="O44" s="105"/>
    </row>
    <row r="45" spans="2:15" x14ac:dyDescent="0.35">
      <c r="B45" s="122"/>
      <c r="C45" s="56"/>
      <c r="D45" s="168"/>
      <c r="E45" s="120"/>
      <c r="F45" s="53"/>
      <c r="G45" s="152"/>
      <c r="H45" s="52"/>
      <c r="J45" s="122" t="s">
        <v>270</v>
      </c>
      <c r="K45" s="146"/>
      <c r="L45" s="70"/>
      <c r="M45" s="85"/>
      <c r="N45" s="143"/>
      <c r="O45" s="105"/>
    </row>
    <row r="46" spans="2:15" x14ac:dyDescent="0.35">
      <c r="B46" s="123" t="s">
        <v>53</v>
      </c>
      <c r="C46" s="56" t="s">
        <v>297</v>
      </c>
      <c r="D46" s="168">
        <f>K!C5</f>
        <v>0</v>
      </c>
      <c r="E46" s="120"/>
      <c r="F46" s="53"/>
      <c r="G46" s="248"/>
      <c r="H46" s="52"/>
      <c r="J46" s="122" t="s">
        <v>107</v>
      </c>
      <c r="K46" s="146"/>
      <c r="L46" s="70"/>
      <c r="M46" s="85"/>
      <c r="N46" s="143"/>
      <c r="O46" s="105"/>
    </row>
    <row r="47" spans="2:15" ht="16" thickBot="1" x14ac:dyDescent="0.4">
      <c r="B47" s="126"/>
      <c r="C47" s="237"/>
      <c r="D47" s="248"/>
      <c r="E47" s="238"/>
      <c r="F47" s="186"/>
      <c r="G47" s="183"/>
      <c r="H47" s="52"/>
      <c r="J47" s="122" t="s">
        <v>36</v>
      </c>
      <c r="K47" s="146"/>
      <c r="L47" s="70"/>
      <c r="M47" s="89"/>
      <c r="N47" s="143"/>
      <c r="O47" s="105"/>
    </row>
    <row r="48" spans="2:15" ht="16" thickBot="1" x14ac:dyDescent="0.4">
      <c r="B48" s="239" t="s">
        <v>6</v>
      </c>
      <c r="C48" s="81"/>
      <c r="D48" s="170">
        <f>SUM(D6:D46)</f>
        <v>713130849.48000014</v>
      </c>
      <c r="E48" s="240" t="s">
        <v>137</v>
      </c>
      <c r="F48" s="79"/>
      <c r="G48" s="241">
        <f>SUM(G6:G46)</f>
        <v>713137966.29000008</v>
      </c>
      <c r="H48" s="52"/>
      <c r="J48" s="122"/>
      <c r="K48" s="146"/>
      <c r="L48" s="70"/>
      <c r="M48" s="85"/>
      <c r="N48" s="144"/>
      <c r="O48" s="138"/>
    </row>
    <row r="49" spans="2:17" x14ac:dyDescent="0.35">
      <c r="B49" s="242"/>
      <c r="C49" s="95"/>
      <c r="D49" s="171"/>
      <c r="E49" s="243"/>
      <c r="F49" s="97"/>
      <c r="G49" s="244"/>
      <c r="H49" s="52"/>
      <c r="J49" s="123" t="s">
        <v>53</v>
      </c>
      <c r="K49" s="146"/>
      <c r="L49" s="70"/>
      <c r="M49" s="85"/>
      <c r="N49" s="143"/>
      <c r="O49" s="105"/>
    </row>
    <row r="50" spans="2:17" ht="16" thickBot="1" x14ac:dyDescent="0.4">
      <c r="B50" s="122" t="s">
        <v>105</v>
      </c>
      <c r="C50" s="56" t="s">
        <v>314</v>
      </c>
      <c r="D50" s="168">
        <f>G48-D48</f>
        <v>7116.8099999427795</v>
      </c>
      <c r="E50" s="245"/>
      <c r="F50" s="51"/>
      <c r="G50" s="181">
        <v>0</v>
      </c>
      <c r="H50" s="52"/>
      <c r="J50" s="126"/>
      <c r="K50" s="102"/>
      <c r="L50" s="102"/>
      <c r="M50" s="92"/>
      <c r="N50" s="144"/>
      <c r="O50" s="139"/>
      <c r="P50" s="100"/>
      <c r="Q50" s="100"/>
    </row>
    <row r="51" spans="2:17" ht="16" thickBot="1" x14ac:dyDescent="0.4">
      <c r="B51" s="238"/>
      <c r="C51" s="91"/>
      <c r="D51" s="172"/>
      <c r="E51" s="238"/>
      <c r="F51" s="91"/>
      <c r="G51" s="246"/>
      <c r="H51" s="52"/>
      <c r="I51" s="100"/>
      <c r="J51" s="80" t="s">
        <v>6</v>
      </c>
      <c r="K51" s="81"/>
      <c r="L51" s="103">
        <f>K50+L50</f>
        <v>0</v>
      </c>
      <c r="M51" s="107">
        <f>SUM(M6:M49)</f>
        <v>0</v>
      </c>
      <c r="N51" s="140"/>
      <c r="O51" s="103">
        <f>N50+O50</f>
        <v>0</v>
      </c>
    </row>
    <row r="52" spans="2:17" ht="16" thickBot="1" x14ac:dyDescent="0.4">
      <c r="B52" s="240" t="s">
        <v>95</v>
      </c>
      <c r="C52" s="79"/>
      <c r="D52" s="170">
        <f>D48+D50</f>
        <v>713137966.29000008</v>
      </c>
      <c r="E52" s="240" t="s">
        <v>95</v>
      </c>
      <c r="F52" s="79"/>
      <c r="G52" s="241">
        <f>G48</f>
        <v>713137966.29000008</v>
      </c>
      <c r="H52" s="52"/>
      <c r="J52" s="94"/>
      <c r="K52" s="95"/>
      <c r="L52" s="104"/>
      <c r="M52" s="96"/>
      <c r="N52" s="97"/>
      <c r="O52" s="108"/>
    </row>
    <row r="53" spans="2:17" x14ac:dyDescent="0.35">
      <c r="H53" s="52"/>
      <c r="J53" s="55" t="s">
        <v>105</v>
      </c>
      <c r="K53" s="56" t="s">
        <v>314</v>
      </c>
      <c r="L53" s="70">
        <f>O51-L51</f>
        <v>0</v>
      </c>
      <c r="M53" s="89"/>
      <c r="N53" s="51"/>
      <c r="O53" s="105">
        <v>0</v>
      </c>
    </row>
    <row r="54" spans="2:17" s="34" customFormat="1" ht="16" thickBot="1" x14ac:dyDescent="0.4">
      <c r="B54" s="47"/>
      <c r="C54" s="48"/>
      <c r="D54" s="177"/>
      <c r="E54" s="47"/>
      <c r="F54" s="176"/>
      <c r="G54" s="49"/>
      <c r="H54" s="98"/>
      <c r="J54" s="90"/>
      <c r="K54" s="91"/>
      <c r="L54" s="102"/>
      <c r="M54" s="92"/>
      <c r="N54" s="91"/>
      <c r="O54" s="106"/>
    </row>
    <row r="55" spans="2:17" s="34" customFormat="1" ht="16" thickBot="1" x14ac:dyDescent="0.4">
      <c r="B55" s="47"/>
      <c r="C55" s="48"/>
      <c r="D55" s="178"/>
      <c r="E55" s="58"/>
      <c r="F55" s="48"/>
      <c r="G55" s="49"/>
      <c r="H55" s="98"/>
      <c r="J55" s="78" t="s">
        <v>95</v>
      </c>
      <c r="K55" s="79"/>
      <c r="L55" s="103">
        <f>L51+L53</f>
        <v>0</v>
      </c>
      <c r="M55" s="93" t="s">
        <v>95</v>
      </c>
      <c r="N55" s="79"/>
      <c r="O55" s="107">
        <f>O51</f>
        <v>0</v>
      </c>
    </row>
    <row r="56" spans="2:17" s="34" customFormat="1" x14ac:dyDescent="0.35">
      <c r="B56" s="47"/>
      <c r="C56" s="48"/>
      <c r="D56" s="178"/>
      <c r="E56" s="47"/>
      <c r="F56" s="48"/>
      <c r="G56" s="49"/>
      <c r="H56" s="98"/>
    </row>
    <row r="57" spans="2:17" x14ac:dyDescent="0.35">
      <c r="H57" s="52"/>
    </row>
    <row r="58" spans="2:17" s="34" customFormat="1" x14ac:dyDescent="0.35">
      <c r="B58" s="47"/>
      <c r="C58" s="48"/>
      <c r="D58" s="49"/>
      <c r="E58" s="47"/>
      <c r="F58" s="48"/>
      <c r="G58" s="49"/>
      <c r="I58" s="101"/>
    </row>
  </sheetData>
  <mergeCells count="4">
    <mergeCell ref="B2:G2"/>
    <mergeCell ref="B3:G3"/>
    <mergeCell ref="J2:O2"/>
    <mergeCell ref="J3:O3"/>
  </mergeCells>
  <pageMargins left="0.70866141732283472" right="0.70866141732283472" top="0.74803149606299213" bottom="0.74803149606299213" header="0.31496062992125984" footer="0.31496062992125984"/>
  <pageSetup paperSize="9" scale="58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DB3B-4872-4A82-80D9-AC2DB71E4775}">
  <dimension ref="B1:H23"/>
  <sheetViews>
    <sheetView topLeftCell="A2" workbookViewId="0">
      <selection activeCell="B2" sqref="B2"/>
    </sheetView>
  </sheetViews>
  <sheetFormatPr defaultColWidth="8.90625" defaultRowHeight="14" x14ac:dyDescent="0.3"/>
  <cols>
    <col min="1" max="1" width="1.54296875" style="15" customWidth="1"/>
    <col min="2" max="2" width="9.6328125" style="15" bestFit="1" customWidth="1"/>
    <col min="3" max="3" width="35.6328125" style="15" bestFit="1" customWidth="1"/>
    <col min="4" max="4" width="35.6328125" style="15" customWidth="1"/>
    <col min="5" max="5" width="14.54296875" style="15" bestFit="1" customWidth="1"/>
    <col min="6" max="7" width="8.90625" style="15"/>
    <col min="8" max="8" width="16.36328125" style="15" bestFit="1" customWidth="1"/>
    <col min="9" max="16384" width="8.90625" style="15"/>
  </cols>
  <sheetData>
    <row r="1" spans="2:5" ht="8.4" customHeight="1" x14ac:dyDescent="0.3"/>
    <row r="2" spans="2:5" x14ac:dyDescent="0.3">
      <c r="B2" s="23" t="s">
        <v>253</v>
      </c>
      <c r="C2" s="23"/>
      <c r="D2" s="23"/>
      <c r="E2" s="23"/>
    </row>
    <row r="3" spans="2:5" x14ac:dyDescent="0.3">
      <c r="B3" s="18"/>
      <c r="C3" s="18"/>
      <c r="D3" s="18"/>
      <c r="E3" s="19"/>
    </row>
    <row r="4" spans="2:5" x14ac:dyDescent="0.3">
      <c r="B4" s="249" t="s">
        <v>3</v>
      </c>
      <c r="C4" s="249" t="s">
        <v>233</v>
      </c>
      <c r="D4" s="249" t="s">
        <v>4</v>
      </c>
      <c r="E4" s="249" t="s">
        <v>2</v>
      </c>
    </row>
    <row r="5" spans="2:5" x14ac:dyDescent="0.3">
      <c r="B5" s="250">
        <v>45561</v>
      </c>
      <c r="C5" s="251" t="s">
        <v>127</v>
      </c>
      <c r="D5" s="251" t="s">
        <v>234</v>
      </c>
      <c r="E5" s="252">
        <v>53389.82</v>
      </c>
    </row>
    <row r="6" spans="2:5" x14ac:dyDescent="0.3">
      <c r="B6" s="250">
        <v>45820</v>
      </c>
      <c r="C6" s="251" t="s">
        <v>127</v>
      </c>
      <c r="D6" s="251" t="s">
        <v>234</v>
      </c>
      <c r="E6" s="252">
        <v>29661.02</v>
      </c>
    </row>
    <row r="7" spans="2:5" x14ac:dyDescent="0.3">
      <c r="B7" s="250">
        <v>46192</v>
      </c>
      <c r="C7" s="251" t="s">
        <v>127</v>
      </c>
      <c r="D7" s="251" t="s">
        <v>234</v>
      </c>
      <c r="E7" s="252">
        <v>29661.02</v>
      </c>
    </row>
    <row r="8" spans="2:5" x14ac:dyDescent="0.3">
      <c r="B8" s="250">
        <v>45654</v>
      </c>
      <c r="C8" s="251" t="s">
        <v>68</v>
      </c>
      <c r="D8" s="253" t="s">
        <v>235</v>
      </c>
      <c r="E8" s="252">
        <v>1086000</v>
      </c>
    </row>
    <row r="9" spans="2:5" x14ac:dyDescent="0.3">
      <c r="B9" s="250">
        <v>45654</v>
      </c>
      <c r="C9" s="251" t="s">
        <v>68</v>
      </c>
      <c r="D9" s="253" t="s">
        <v>235</v>
      </c>
      <c r="E9" s="252">
        <v>988550</v>
      </c>
    </row>
    <row r="10" spans="2:5" x14ac:dyDescent="0.3">
      <c r="B10" s="250">
        <v>45709</v>
      </c>
      <c r="C10" s="251" t="s">
        <v>68</v>
      </c>
      <c r="D10" s="253" t="s">
        <v>235</v>
      </c>
      <c r="E10" s="252">
        <v>364729.68</v>
      </c>
    </row>
    <row r="11" spans="2:5" x14ac:dyDescent="0.3">
      <c r="B11" s="250">
        <v>45743</v>
      </c>
      <c r="C11" s="251" t="s">
        <v>68</v>
      </c>
      <c r="D11" s="253" t="s">
        <v>235</v>
      </c>
      <c r="E11" s="252">
        <v>315554.40000000002</v>
      </c>
    </row>
    <row r="12" spans="2:5" x14ac:dyDescent="0.3">
      <c r="B12" s="250">
        <v>45743</v>
      </c>
      <c r="C12" s="251" t="s">
        <v>68</v>
      </c>
      <c r="D12" s="253" t="s">
        <v>235</v>
      </c>
      <c r="E12" s="252">
        <v>370717.2</v>
      </c>
    </row>
    <row r="13" spans="2:5" x14ac:dyDescent="0.3">
      <c r="B13" s="250">
        <v>45855</v>
      </c>
      <c r="C13" s="251" t="s">
        <v>129</v>
      </c>
      <c r="D13" s="253" t="s">
        <v>235</v>
      </c>
      <c r="E13" s="252">
        <v>291070.42</v>
      </c>
    </row>
    <row r="14" spans="2:5" x14ac:dyDescent="0.3">
      <c r="B14" s="250">
        <v>45907</v>
      </c>
      <c r="C14" s="251" t="s">
        <v>68</v>
      </c>
      <c r="D14" s="253" t="s">
        <v>235</v>
      </c>
      <c r="E14" s="252">
        <v>358372</v>
      </c>
    </row>
    <row r="15" spans="2:5" x14ac:dyDescent="0.3">
      <c r="B15" s="250">
        <v>45907</v>
      </c>
      <c r="C15" s="251" t="s">
        <v>68</v>
      </c>
      <c r="D15" s="253" t="s">
        <v>235</v>
      </c>
      <c r="E15" s="252">
        <v>735098</v>
      </c>
    </row>
    <row r="16" spans="2:5" x14ac:dyDescent="0.3">
      <c r="B16" s="250">
        <v>45912</v>
      </c>
      <c r="C16" s="251" t="s">
        <v>291</v>
      </c>
      <c r="D16" s="253" t="s">
        <v>235</v>
      </c>
      <c r="E16" s="252">
        <v>805085</v>
      </c>
    </row>
    <row r="17" spans="2:8" x14ac:dyDescent="0.3">
      <c r="B17" s="250">
        <v>45999</v>
      </c>
      <c r="C17" s="251" t="s">
        <v>349</v>
      </c>
      <c r="D17" s="253" t="s">
        <v>235</v>
      </c>
      <c r="E17" s="252">
        <v>40000</v>
      </c>
    </row>
    <row r="18" spans="2:8" x14ac:dyDescent="0.3">
      <c r="B18" s="250">
        <v>46027</v>
      </c>
      <c r="C18" s="251" t="s">
        <v>349</v>
      </c>
      <c r="D18" s="253" t="s">
        <v>235</v>
      </c>
      <c r="E18" s="252">
        <v>65000</v>
      </c>
    </row>
    <row r="19" spans="2:8" x14ac:dyDescent="0.3">
      <c r="B19" s="250">
        <v>46151</v>
      </c>
      <c r="C19" s="251" t="s">
        <v>68</v>
      </c>
      <c r="D19" s="253" t="s">
        <v>235</v>
      </c>
      <c r="E19" s="252">
        <v>251000</v>
      </c>
    </row>
    <row r="20" spans="2:8" x14ac:dyDescent="0.3">
      <c r="B20" s="21"/>
      <c r="C20" s="20"/>
      <c r="D20" s="20"/>
      <c r="E20" s="32"/>
    </row>
    <row r="21" spans="2:8" x14ac:dyDescent="0.3">
      <c r="B21" s="16"/>
      <c r="C21" s="22" t="s">
        <v>137</v>
      </c>
      <c r="D21" s="16"/>
      <c r="E21" s="33">
        <f>SUM(E5:E19)</f>
        <v>5783888.5600000005</v>
      </c>
      <c r="G21" s="39"/>
      <c r="H21" s="17"/>
    </row>
    <row r="23" spans="2:8" x14ac:dyDescent="0.3">
      <c r="E23" s="16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8D46-4DE8-4221-94CB-45C9BF67FFC4}">
  <dimension ref="A1:I223"/>
  <sheetViews>
    <sheetView topLeftCell="A221" workbookViewId="0">
      <selection activeCell="C223" sqref="C223"/>
    </sheetView>
  </sheetViews>
  <sheetFormatPr defaultColWidth="8.90625" defaultRowHeight="14" x14ac:dyDescent="0.3"/>
  <cols>
    <col min="1" max="1" width="1.6328125" style="25" customWidth="1"/>
    <col min="2" max="2" width="10.36328125" style="25" bestFit="1" customWidth="1"/>
    <col min="3" max="3" width="44" style="25" bestFit="1" customWidth="1"/>
    <col min="4" max="4" width="16.1796875" style="25" bestFit="1" customWidth="1"/>
    <col min="5" max="5" width="12.1796875" style="25" bestFit="1" customWidth="1"/>
    <col min="6" max="6" width="12.6328125" style="25" bestFit="1" customWidth="1"/>
    <col min="7" max="7" width="15.453125" style="25" bestFit="1" customWidth="1"/>
    <col min="8" max="8" width="12.81640625" style="25" bestFit="1" customWidth="1"/>
    <col min="9" max="9" width="10" style="25" bestFit="1" customWidth="1"/>
    <col min="10" max="16384" width="8.90625" style="25"/>
  </cols>
  <sheetData>
    <row r="1" spans="1:9" ht="10.25" customHeight="1" x14ac:dyDescent="0.3"/>
    <row r="2" spans="1:9" x14ac:dyDescent="0.3">
      <c r="B2" s="24" t="s">
        <v>273</v>
      </c>
      <c r="E2" s="27"/>
      <c r="G2" s="115"/>
      <c r="H2" s="115"/>
    </row>
    <row r="4" spans="1:9" x14ac:dyDescent="0.3">
      <c r="A4" s="254"/>
      <c r="B4" s="249" t="s">
        <v>3</v>
      </c>
      <c r="C4" s="249" t="s">
        <v>1</v>
      </c>
      <c r="D4" s="249" t="s">
        <v>4</v>
      </c>
      <c r="E4" s="249" t="s">
        <v>2</v>
      </c>
    </row>
    <row r="5" spans="1:9" x14ac:dyDescent="0.3">
      <c r="A5" s="254"/>
      <c r="B5" s="255">
        <v>45405</v>
      </c>
      <c r="C5" s="256" t="s">
        <v>484</v>
      </c>
      <c r="D5" s="257" t="s">
        <v>236</v>
      </c>
      <c r="E5" s="258">
        <v>213321.43</v>
      </c>
    </row>
    <row r="6" spans="1:9" x14ac:dyDescent="0.3">
      <c r="A6" s="254"/>
      <c r="B6" s="255">
        <v>45407</v>
      </c>
      <c r="C6" s="256" t="s">
        <v>484</v>
      </c>
      <c r="D6" s="257" t="s">
        <v>236</v>
      </c>
      <c r="E6" s="258">
        <v>1058198.3999999999</v>
      </c>
    </row>
    <row r="7" spans="1:9" x14ac:dyDescent="0.3">
      <c r="A7" s="254"/>
      <c r="B7" s="255">
        <v>45415</v>
      </c>
      <c r="C7" s="256" t="s">
        <v>484</v>
      </c>
      <c r="D7" s="257" t="s">
        <v>236</v>
      </c>
      <c r="E7" s="258">
        <v>437838.24</v>
      </c>
    </row>
    <row r="8" spans="1:9" x14ac:dyDescent="0.3">
      <c r="A8" s="254"/>
      <c r="B8" s="255">
        <v>45426</v>
      </c>
      <c r="C8" s="256" t="s">
        <v>412</v>
      </c>
      <c r="D8" s="257" t="s">
        <v>236</v>
      </c>
      <c r="E8" s="258">
        <v>12570.34</v>
      </c>
    </row>
    <row r="9" spans="1:9" x14ac:dyDescent="0.3">
      <c r="A9" s="254"/>
      <c r="B9" s="255">
        <v>45428</v>
      </c>
      <c r="C9" s="256" t="s">
        <v>484</v>
      </c>
      <c r="D9" s="257" t="s">
        <v>236</v>
      </c>
      <c r="E9" s="258">
        <v>692029.59</v>
      </c>
    </row>
    <row r="10" spans="1:9" x14ac:dyDescent="0.3">
      <c r="A10" s="254"/>
      <c r="B10" s="255">
        <v>45430</v>
      </c>
      <c r="C10" s="256" t="s">
        <v>484</v>
      </c>
      <c r="D10" s="257" t="s">
        <v>236</v>
      </c>
      <c r="E10" s="258">
        <v>786387</v>
      </c>
    </row>
    <row r="11" spans="1:9" x14ac:dyDescent="0.3">
      <c r="A11" s="254"/>
      <c r="B11" s="255">
        <v>45443</v>
      </c>
      <c r="C11" s="256" t="s">
        <v>484</v>
      </c>
      <c r="D11" s="257" t="s">
        <v>236</v>
      </c>
      <c r="E11" s="258">
        <v>14800</v>
      </c>
    </row>
    <row r="12" spans="1:9" x14ac:dyDescent="0.3">
      <c r="A12" s="254"/>
      <c r="B12" s="255">
        <v>45456</v>
      </c>
      <c r="C12" s="256" t="s">
        <v>494</v>
      </c>
      <c r="D12" s="257" t="s">
        <v>236</v>
      </c>
      <c r="E12" s="258">
        <v>845371.9</v>
      </c>
    </row>
    <row r="13" spans="1:9" x14ac:dyDescent="0.3">
      <c r="A13" s="254"/>
      <c r="B13" s="255">
        <v>45457</v>
      </c>
      <c r="C13" s="256" t="s">
        <v>494</v>
      </c>
      <c r="D13" s="257" t="s">
        <v>236</v>
      </c>
      <c r="E13" s="258">
        <v>642567.05000000005</v>
      </c>
    </row>
    <row r="14" spans="1:9" x14ac:dyDescent="0.3">
      <c r="A14" s="254"/>
      <c r="B14" s="255">
        <v>45457</v>
      </c>
      <c r="C14" s="256" t="s">
        <v>494</v>
      </c>
      <c r="D14" s="257" t="s">
        <v>236</v>
      </c>
      <c r="E14" s="258">
        <v>791035.25</v>
      </c>
    </row>
    <row r="15" spans="1:9" x14ac:dyDescent="0.3">
      <c r="A15" s="254"/>
      <c r="B15" s="255">
        <v>45463</v>
      </c>
      <c r="C15" s="256" t="s">
        <v>494</v>
      </c>
      <c r="D15" s="257" t="s">
        <v>236</v>
      </c>
      <c r="E15" s="258">
        <v>822612.4</v>
      </c>
    </row>
    <row r="16" spans="1:9" x14ac:dyDescent="0.3">
      <c r="A16" s="254"/>
      <c r="B16" s="255">
        <v>45467</v>
      </c>
      <c r="C16" s="256" t="s">
        <v>494</v>
      </c>
      <c r="D16" s="257" t="s">
        <v>236</v>
      </c>
      <c r="E16" s="258">
        <v>534640.9</v>
      </c>
      <c r="G16" s="127"/>
      <c r="I16" s="40"/>
    </row>
    <row r="17" spans="1:9" x14ac:dyDescent="0.3">
      <c r="A17" s="254"/>
      <c r="B17" s="255">
        <v>45468</v>
      </c>
      <c r="C17" s="256" t="s">
        <v>494</v>
      </c>
      <c r="D17" s="257" t="s">
        <v>236</v>
      </c>
      <c r="E17" s="258">
        <v>1279224.75</v>
      </c>
      <c r="G17" s="127"/>
      <c r="I17" s="40"/>
    </row>
    <row r="18" spans="1:9" x14ac:dyDescent="0.3">
      <c r="A18" s="254"/>
      <c r="B18" s="255">
        <v>45472</v>
      </c>
      <c r="C18" s="256" t="s">
        <v>494</v>
      </c>
      <c r="D18" s="257" t="s">
        <v>236</v>
      </c>
      <c r="E18" s="258">
        <v>1103916.1000000001</v>
      </c>
    </row>
    <row r="19" spans="1:9" x14ac:dyDescent="0.3">
      <c r="A19" s="254"/>
      <c r="B19" s="255">
        <v>45475</v>
      </c>
      <c r="C19" s="256" t="s">
        <v>412</v>
      </c>
      <c r="D19" s="257" t="s">
        <v>236</v>
      </c>
      <c r="E19" s="258">
        <v>59470.25</v>
      </c>
    </row>
    <row r="20" spans="1:9" x14ac:dyDescent="0.3">
      <c r="A20" s="254"/>
      <c r="B20" s="255">
        <v>45482</v>
      </c>
      <c r="C20" s="256" t="s">
        <v>412</v>
      </c>
      <c r="D20" s="257" t="s">
        <v>236</v>
      </c>
      <c r="E20" s="258">
        <v>17161.02</v>
      </c>
    </row>
    <row r="21" spans="1:9" x14ac:dyDescent="0.3">
      <c r="A21" s="254"/>
      <c r="B21" s="255">
        <v>45484</v>
      </c>
      <c r="C21" s="256" t="s">
        <v>494</v>
      </c>
      <c r="D21" s="257" t="s">
        <v>236</v>
      </c>
      <c r="E21" s="258">
        <v>662908.47</v>
      </c>
    </row>
    <row r="22" spans="1:9" x14ac:dyDescent="0.3">
      <c r="A22" s="254"/>
      <c r="B22" s="255">
        <v>45493</v>
      </c>
      <c r="C22" s="256" t="s">
        <v>525</v>
      </c>
      <c r="D22" s="257" t="s">
        <v>236</v>
      </c>
      <c r="E22" s="258">
        <v>24000000</v>
      </c>
    </row>
    <row r="23" spans="1:9" x14ac:dyDescent="0.3">
      <c r="A23" s="254"/>
      <c r="B23" s="255">
        <v>45503</v>
      </c>
      <c r="C23" s="256" t="s">
        <v>494</v>
      </c>
      <c r="D23" s="257" t="s">
        <v>236</v>
      </c>
      <c r="E23" s="258">
        <v>893843.2</v>
      </c>
    </row>
    <row r="24" spans="1:9" x14ac:dyDescent="0.3">
      <c r="A24" s="254"/>
      <c r="B24" s="255">
        <v>45505</v>
      </c>
      <c r="C24" s="256" t="s">
        <v>484</v>
      </c>
      <c r="D24" s="257" t="s">
        <v>236</v>
      </c>
      <c r="E24" s="258">
        <v>2209690</v>
      </c>
    </row>
    <row r="25" spans="1:9" x14ac:dyDescent="0.3">
      <c r="A25" s="254"/>
      <c r="B25" s="255">
        <v>45505</v>
      </c>
      <c r="C25" s="256" t="s">
        <v>484</v>
      </c>
      <c r="D25" s="257" t="s">
        <v>236</v>
      </c>
      <c r="E25" s="258">
        <v>1260105</v>
      </c>
    </row>
    <row r="26" spans="1:9" x14ac:dyDescent="0.3">
      <c r="A26" s="254"/>
      <c r="B26" s="255">
        <v>45507</v>
      </c>
      <c r="C26" s="256" t="s">
        <v>494</v>
      </c>
      <c r="D26" s="257" t="s">
        <v>236</v>
      </c>
      <c r="E26" s="258">
        <v>1358820.34</v>
      </c>
    </row>
    <row r="27" spans="1:9" x14ac:dyDescent="0.3">
      <c r="A27" s="254"/>
      <c r="B27" s="255">
        <v>45512</v>
      </c>
      <c r="C27" s="256" t="s">
        <v>494</v>
      </c>
      <c r="D27" s="257" t="s">
        <v>236</v>
      </c>
      <c r="E27" s="258">
        <v>846713.56</v>
      </c>
    </row>
    <row r="28" spans="1:9" x14ac:dyDescent="0.3">
      <c r="A28" s="254"/>
      <c r="B28" s="255">
        <v>45512</v>
      </c>
      <c r="C28" s="256" t="s">
        <v>494</v>
      </c>
      <c r="D28" s="257" t="s">
        <v>236</v>
      </c>
      <c r="E28" s="258">
        <v>89039.83</v>
      </c>
    </row>
    <row r="29" spans="1:9" x14ac:dyDescent="0.3">
      <c r="A29" s="254"/>
      <c r="B29" s="255">
        <v>45519</v>
      </c>
      <c r="C29" s="256" t="s">
        <v>484</v>
      </c>
      <c r="D29" s="257" t="s">
        <v>236</v>
      </c>
      <c r="E29" s="258">
        <v>84279.66</v>
      </c>
    </row>
    <row r="30" spans="1:9" x14ac:dyDescent="0.3">
      <c r="A30" s="254"/>
      <c r="B30" s="255">
        <v>45523</v>
      </c>
      <c r="C30" s="256" t="s">
        <v>484</v>
      </c>
      <c r="D30" s="257" t="s">
        <v>236</v>
      </c>
      <c r="E30" s="258">
        <v>57400</v>
      </c>
    </row>
    <row r="31" spans="1:9" x14ac:dyDescent="0.3">
      <c r="A31" s="254"/>
      <c r="B31" s="255">
        <v>45531</v>
      </c>
      <c r="C31" s="256" t="s">
        <v>412</v>
      </c>
      <c r="D31" s="257" t="s">
        <v>236</v>
      </c>
      <c r="E31" s="258">
        <v>18694.919999999998</v>
      </c>
    </row>
    <row r="32" spans="1:9" x14ac:dyDescent="0.3">
      <c r="A32" s="254"/>
      <c r="B32" s="255">
        <v>45533</v>
      </c>
      <c r="C32" s="256" t="s">
        <v>484</v>
      </c>
      <c r="D32" s="257" t="s">
        <v>236</v>
      </c>
      <c r="E32" s="258">
        <v>114520</v>
      </c>
    </row>
    <row r="33" spans="1:5" x14ac:dyDescent="0.3">
      <c r="A33" s="254"/>
      <c r="B33" s="255">
        <v>45533</v>
      </c>
      <c r="C33" s="256" t="s">
        <v>484</v>
      </c>
      <c r="D33" s="257" t="s">
        <v>236</v>
      </c>
      <c r="E33" s="258">
        <v>183120</v>
      </c>
    </row>
    <row r="34" spans="1:5" x14ac:dyDescent="0.3">
      <c r="A34" s="254"/>
      <c r="B34" s="255">
        <v>45541</v>
      </c>
      <c r="C34" s="256" t="s">
        <v>484</v>
      </c>
      <c r="D34" s="257" t="s">
        <v>236</v>
      </c>
      <c r="E34" s="258">
        <v>1603102.03</v>
      </c>
    </row>
    <row r="35" spans="1:5" x14ac:dyDescent="0.3">
      <c r="A35" s="254"/>
      <c r="B35" s="255">
        <v>45545</v>
      </c>
      <c r="C35" s="256" t="s">
        <v>484</v>
      </c>
      <c r="D35" s="257" t="s">
        <v>236</v>
      </c>
      <c r="E35" s="258">
        <v>399279.37</v>
      </c>
    </row>
    <row r="36" spans="1:5" x14ac:dyDescent="0.3">
      <c r="A36" s="254"/>
      <c r="B36" s="255">
        <v>45545</v>
      </c>
      <c r="C36" s="256" t="s">
        <v>484</v>
      </c>
      <c r="D36" s="257" t="s">
        <v>236</v>
      </c>
      <c r="E36" s="258">
        <v>375300</v>
      </c>
    </row>
    <row r="37" spans="1:5" x14ac:dyDescent="0.3">
      <c r="A37" s="254"/>
      <c r="B37" s="255">
        <v>45547</v>
      </c>
      <c r="C37" s="256" t="s">
        <v>484</v>
      </c>
      <c r="D37" s="257" t="s">
        <v>236</v>
      </c>
      <c r="E37" s="258">
        <v>1205694</v>
      </c>
    </row>
    <row r="38" spans="1:5" x14ac:dyDescent="0.3">
      <c r="A38" s="254"/>
      <c r="B38" s="255">
        <v>45547</v>
      </c>
      <c r="C38" s="256" t="s">
        <v>484</v>
      </c>
      <c r="D38" s="257" t="s">
        <v>236</v>
      </c>
      <c r="E38" s="258">
        <v>41650</v>
      </c>
    </row>
    <row r="39" spans="1:5" x14ac:dyDescent="0.3">
      <c r="A39" s="254"/>
      <c r="B39" s="255">
        <v>45548</v>
      </c>
      <c r="C39" s="256" t="s">
        <v>494</v>
      </c>
      <c r="D39" s="257" t="s">
        <v>236</v>
      </c>
      <c r="E39" s="258">
        <v>1189862.3999999999</v>
      </c>
    </row>
    <row r="40" spans="1:5" x14ac:dyDescent="0.3">
      <c r="A40" s="254"/>
      <c r="B40" s="255">
        <v>45548</v>
      </c>
      <c r="C40" s="256" t="s">
        <v>484</v>
      </c>
      <c r="D40" s="257" t="s">
        <v>236</v>
      </c>
      <c r="E40" s="258">
        <v>402469.36</v>
      </c>
    </row>
    <row r="41" spans="1:5" x14ac:dyDescent="0.3">
      <c r="A41" s="254"/>
      <c r="B41" s="255">
        <v>45549</v>
      </c>
      <c r="C41" s="256" t="s">
        <v>484</v>
      </c>
      <c r="D41" s="257" t="s">
        <v>236</v>
      </c>
      <c r="E41" s="258">
        <v>97843.199999999997</v>
      </c>
    </row>
    <row r="42" spans="1:5" x14ac:dyDescent="0.3">
      <c r="A42" s="254"/>
      <c r="B42" s="255">
        <v>45552</v>
      </c>
      <c r="C42" s="256" t="s">
        <v>484</v>
      </c>
      <c r="D42" s="257" t="s">
        <v>236</v>
      </c>
      <c r="E42" s="258">
        <v>36248.800000000003</v>
      </c>
    </row>
    <row r="43" spans="1:5" x14ac:dyDescent="0.3">
      <c r="A43" s="254"/>
      <c r="B43" s="255">
        <v>45558</v>
      </c>
      <c r="C43" s="256" t="s">
        <v>484</v>
      </c>
      <c r="D43" s="257" t="s">
        <v>236</v>
      </c>
      <c r="E43" s="258">
        <v>6300</v>
      </c>
    </row>
    <row r="44" spans="1:5" x14ac:dyDescent="0.3">
      <c r="A44" s="254"/>
      <c r="B44" s="255">
        <v>45561</v>
      </c>
      <c r="C44" s="256" t="s">
        <v>494</v>
      </c>
      <c r="D44" s="257" t="s">
        <v>236</v>
      </c>
      <c r="E44" s="258">
        <v>1207328.1000000001</v>
      </c>
    </row>
    <row r="45" spans="1:5" x14ac:dyDescent="0.3">
      <c r="A45" s="254"/>
      <c r="B45" s="255">
        <v>45561</v>
      </c>
      <c r="C45" s="256" t="s">
        <v>484</v>
      </c>
      <c r="D45" s="257" t="s">
        <v>236</v>
      </c>
      <c r="E45" s="258">
        <v>62440</v>
      </c>
    </row>
    <row r="46" spans="1:5" x14ac:dyDescent="0.3">
      <c r="A46" s="254"/>
      <c r="B46" s="255">
        <v>45563</v>
      </c>
      <c r="C46" s="256" t="s">
        <v>412</v>
      </c>
      <c r="D46" s="257" t="s">
        <v>236</v>
      </c>
      <c r="E46" s="258">
        <v>13096.55</v>
      </c>
    </row>
    <row r="47" spans="1:5" x14ac:dyDescent="0.3">
      <c r="A47" s="254"/>
      <c r="B47" s="255">
        <v>45568</v>
      </c>
      <c r="C47" s="256" t="s">
        <v>484</v>
      </c>
      <c r="D47" s="257" t="s">
        <v>236</v>
      </c>
      <c r="E47" s="258">
        <v>1507583.9</v>
      </c>
    </row>
    <row r="48" spans="1:5" x14ac:dyDescent="0.3">
      <c r="A48" s="254"/>
      <c r="B48" s="255">
        <v>45570</v>
      </c>
      <c r="C48" s="256" t="s">
        <v>494</v>
      </c>
      <c r="D48" s="257" t="s">
        <v>236</v>
      </c>
      <c r="E48" s="258">
        <v>1019331.36</v>
      </c>
    </row>
    <row r="49" spans="1:5" x14ac:dyDescent="0.3">
      <c r="A49" s="254"/>
      <c r="B49" s="255">
        <v>45576</v>
      </c>
      <c r="C49" s="256" t="s">
        <v>484</v>
      </c>
      <c r="D49" s="257" t="s">
        <v>236</v>
      </c>
      <c r="E49" s="258">
        <v>84178.81</v>
      </c>
    </row>
    <row r="50" spans="1:5" x14ac:dyDescent="0.3">
      <c r="A50" s="254"/>
      <c r="B50" s="255">
        <v>45579</v>
      </c>
      <c r="C50" s="256" t="s">
        <v>484</v>
      </c>
      <c r="D50" s="257" t="s">
        <v>236</v>
      </c>
      <c r="E50" s="258">
        <v>72005.929999999993</v>
      </c>
    </row>
    <row r="51" spans="1:5" x14ac:dyDescent="0.3">
      <c r="A51" s="254"/>
      <c r="B51" s="255">
        <v>45584</v>
      </c>
      <c r="C51" s="256" t="s">
        <v>484</v>
      </c>
      <c r="D51" s="257" t="s">
        <v>236</v>
      </c>
      <c r="E51" s="258">
        <v>59400</v>
      </c>
    </row>
    <row r="52" spans="1:5" x14ac:dyDescent="0.3">
      <c r="A52" s="254"/>
      <c r="B52" s="255">
        <v>45589</v>
      </c>
      <c r="C52" s="256" t="s">
        <v>109</v>
      </c>
      <c r="D52" s="257" t="s">
        <v>236</v>
      </c>
      <c r="E52" s="258">
        <v>2080000</v>
      </c>
    </row>
    <row r="53" spans="1:5" x14ac:dyDescent="0.3">
      <c r="A53" s="254"/>
      <c r="B53" s="255">
        <v>45589</v>
      </c>
      <c r="C53" s="256" t="s">
        <v>484</v>
      </c>
      <c r="D53" s="257" t="s">
        <v>236</v>
      </c>
      <c r="E53" s="258">
        <v>1225921.19</v>
      </c>
    </row>
    <row r="54" spans="1:5" x14ac:dyDescent="0.3">
      <c r="A54" s="254"/>
      <c r="B54" s="255">
        <v>45591</v>
      </c>
      <c r="C54" s="256" t="s">
        <v>484</v>
      </c>
      <c r="D54" s="257" t="s">
        <v>236</v>
      </c>
      <c r="E54" s="258">
        <v>1762933.9</v>
      </c>
    </row>
    <row r="55" spans="1:5" x14ac:dyDescent="0.3">
      <c r="A55" s="254"/>
      <c r="B55" s="255">
        <v>45593</v>
      </c>
      <c r="C55" s="256" t="s">
        <v>484</v>
      </c>
      <c r="D55" s="257" t="s">
        <v>236</v>
      </c>
      <c r="E55" s="258">
        <v>4670000</v>
      </c>
    </row>
    <row r="56" spans="1:5" x14ac:dyDescent="0.3">
      <c r="A56" s="254"/>
      <c r="B56" s="255">
        <v>45600</v>
      </c>
      <c r="C56" s="256" t="s">
        <v>484</v>
      </c>
      <c r="D56" s="257" t="s">
        <v>236</v>
      </c>
      <c r="E56" s="258">
        <v>64664.41</v>
      </c>
    </row>
    <row r="57" spans="1:5" x14ac:dyDescent="0.3">
      <c r="A57" s="254"/>
      <c r="B57" s="255">
        <v>45607</v>
      </c>
      <c r="C57" s="256" t="s">
        <v>484</v>
      </c>
      <c r="D57" s="257" t="s">
        <v>236</v>
      </c>
      <c r="E57" s="258">
        <v>515533.22</v>
      </c>
    </row>
    <row r="58" spans="1:5" x14ac:dyDescent="0.3">
      <c r="A58" s="254"/>
      <c r="B58" s="255">
        <v>45610</v>
      </c>
      <c r="C58" s="256" t="s">
        <v>484</v>
      </c>
      <c r="D58" s="257" t="s">
        <v>236</v>
      </c>
      <c r="E58" s="258">
        <v>3026</v>
      </c>
    </row>
    <row r="59" spans="1:5" x14ac:dyDescent="0.3">
      <c r="A59" s="254"/>
      <c r="B59" s="255">
        <v>45619</v>
      </c>
      <c r="C59" s="256" t="s">
        <v>484</v>
      </c>
      <c r="D59" s="257" t="s">
        <v>236</v>
      </c>
      <c r="E59" s="258">
        <v>12049.15</v>
      </c>
    </row>
    <row r="60" spans="1:5" x14ac:dyDescent="0.3">
      <c r="A60" s="254"/>
      <c r="B60" s="255">
        <v>45623</v>
      </c>
      <c r="C60" s="256" t="s">
        <v>484</v>
      </c>
      <c r="D60" s="257" t="s">
        <v>236</v>
      </c>
      <c r="E60" s="258">
        <v>20372.03</v>
      </c>
    </row>
    <row r="61" spans="1:5" x14ac:dyDescent="0.3">
      <c r="A61" s="254"/>
      <c r="B61" s="255">
        <v>45626</v>
      </c>
      <c r="C61" s="256" t="s">
        <v>484</v>
      </c>
      <c r="D61" s="257" t="s">
        <v>236</v>
      </c>
      <c r="E61" s="258">
        <v>6800</v>
      </c>
    </row>
    <row r="62" spans="1:5" x14ac:dyDescent="0.3">
      <c r="A62" s="254"/>
      <c r="B62" s="255">
        <v>45629</v>
      </c>
      <c r="C62" s="256" t="s">
        <v>484</v>
      </c>
      <c r="D62" s="257" t="s">
        <v>236</v>
      </c>
      <c r="E62" s="258">
        <v>1305832.58</v>
      </c>
    </row>
    <row r="63" spans="1:5" x14ac:dyDescent="0.3">
      <c r="A63" s="254"/>
      <c r="B63" s="255">
        <v>45630</v>
      </c>
      <c r="C63" s="256" t="s">
        <v>484</v>
      </c>
      <c r="D63" s="257" t="s">
        <v>236</v>
      </c>
      <c r="E63" s="258">
        <v>11561.6</v>
      </c>
    </row>
    <row r="64" spans="1:5" x14ac:dyDescent="0.3">
      <c r="A64" s="254"/>
      <c r="B64" s="255">
        <v>45636</v>
      </c>
      <c r="C64" s="256" t="s">
        <v>484</v>
      </c>
      <c r="D64" s="257" t="s">
        <v>236</v>
      </c>
      <c r="E64" s="258">
        <v>6734</v>
      </c>
    </row>
    <row r="65" spans="1:5" x14ac:dyDescent="0.3">
      <c r="A65" s="254"/>
      <c r="B65" s="255">
        <v>45640</v>
      </c>
      <c r="C65" s="256" t="s">
        <v>486</v>
      </c>
      <c r="D65" s="257" t="s">
        <v>236</v>
      </c>
      <c r="E65" s="258">
        <v>2474750</v>
      </c>
    </row>
    <row r="66" spans="1:5" x14ac:dyDescent="0.3">
      <c r="A66" s="254"/>
      <c r="B66" s="255">
        <v>45642</v>
      </c>
      <c r="C66" s="256" t="s">
        <v>412</v>
      </c>
      <c r="D66" s="257" t="s">
        <v>236</v>
      </c>
      <c r="E66" s="258">
        <v>8677.84</v>
      </c>
    </row>
    <row r="67" spans="1:5" x14ac:dyDescent="0.3">
      <c r="A67" s="254"/>
      <c r="B67" s="255">
        <v>45645</v>
      </c>
      <c r="C67" s="256" t="s">
        <v>526</v>
      </c>
      <c r="D67" s="257" t="s">
        <v>236</v>
      </c>
      <c r="E67" s="258">
        <v>11016.94</v>
      </c>
    </row>
    <row r="68" spans="1:5" x14ac:dyDescent="0.3">
      <c r="A68" s="254"/>
      <c r="B68" s="255">
        <v>45649</v>
      </c>
      <c r="C68" s="256" t="s">
        <v>484</v>
      </c>
      <c r="D68" s="257" t="s">
        <v>236</v>
      </c>
      <c r="E68" s="258">
        <v>63782</v>
      </c>
    </row>
    <row r="69" spans="1:5" x14ac:dyDescent="0.3">
      <c r="A69" s="254"/>
      <c r="B69" s="255">
        <v>45650</v>
      </c>
      <c r="C69" s="256" t="s">
        <v>67</v>
      </c>
      <c r="D69" s="257" t="s">
        <v>236</v>
      </c>
      <c r="E69" s="258">
        <v>1820000</v>
      </c>
    </row>
    <row r="70" spans="1:5" x14ac:dyDescent="0.3">
      <c r="A70" s="254"/>
      <c r="B70" s="255">
        <v>45653</v>
      </c>
      <c r="C70" s="256" t="s">
        <v>494</v>
      </c>
      <c r="D70" s="257" t="s">
        <v>236</v>
      </c>
      <c r="E70" s="258">
        <v>172387</v>
      </c>
    </row>
    <row r="71" spans="1:5" x14ac:dyDescent="0.3">
      <c r="A71" s="254"/>
      <c r="B71" s="255">
        <v>45656</v>
      </c>
      <c r="C71" s="256" t="s">
        <v>494</v>
      </c>
      <c r="D71" s="257" t="s">
        <v>236</v>
      </c>
      <c r="E71" s="258">
        <v>650546.5</v>
      </c>
    </row>
    <row r="72" spans="1:5" x14ac:dyDescent="0.3">
      <c r="A72" s="254"/>
      <c r="B72" s="255">
        <v>45656</v>
      </c>
      <c r="C72" s="256" t="s">
        <v>494</v>
      </c>
      <c r="D72" s="257" t="s">
        <v>236</v>
      </c>
      <c r="E72" s="258">
        <v>186446</v>
      </c>
    </row>
    <row r="73" spans="1:5" x14ac:dyDescent="0.3">
      <c r="A73" s="254"/>
      <c r="B73" s="255">
        <v>45657</v>
      </c>
      <c r="C73" s="256" t="s">
        <v>484</v>
      </c>
      <c r="D73" s="257" t="s">
        <v>236</v>
      </c>
      <c r="E73" s="258">
        <v>546086.48</v>
      </c>
    </row>
    <row r="74" spans="1:5" x14ac:dyDescent="0.3">
      <c r="A74" s="254"/>
      <c r="B74" s="255">
        <v>45657</v>
      </c>
      <c r="C74" s="256" t="s">
        <v>484</v>
      </c>
      <c r="D74" s="257" t="s">
        <v>236</v>
      </c>
      <c r="E74" s="258">
        <v>227000</v>
      </c>
    </row>
    <row r="75" spans="1:5" x14ac:dyDescent="0.3">
      <c r="A75" s="254"/>
      <c r="B75" s="255">
        <v>45659</v>
      </c>
      <c r="C75" s="256" t="s">
        <v>93</v>
      </c>
      <c r="D75" s="257" t="s">
        <v>236</v>
      </c>
      <c r="E75" s="258">
        <v>25400</v>
      </c>
    </row>
    <row r="76" spans="1:5" x14ac:dyDescent="0.3">
      <c r="A76" s="254"/>
      <c r="B76" s="255">
        <v>45663</v>
      </c>
      <c r="C76" s="256" t="s">
        <v>396</v>
      </c>
      <c r="D76" s="257" t="s">
        <v>236</v>
      </c>
      <c r="E76" s="258">
        <v>203910</v>
      </c>
    </row>
    <row r="77" spans="1:5" x14ac:dyDescent="0.3">
      <c r="A77" s="254"/>
      <c r="B77" s="255">
        <v>45664</v>
      </c>
      <c r="C77" s="256" t="s">
        <v>484</v>
      </c>
      <c r="D77" s="257" t="s">
        <v>236</v>
      </c>
      <c r="E77" s="258">
        <v>8256</v>
      </c>
    </row>
    <row r="78" spans="1:5" x14ac:dyDescent="0.3">
      <c r="A78" s="254"/>
      <c r="B78" s="255">
        <v>45673</v>
      </c>
      <c r="C78" s="256" t="s">
        <v>484</v>
      </c>
      <c r="D78" s="257" t="s">
        <v>236</v>
      </c>
      <c r="E78" s="258">
        <v>1104821.5</v>
      </c>
    </row>
    <row r="79" spans="1:5" x14ac:dyDescent="0.3">
      <c r="A79" s="254"/>
      <c r="B79" s="255">
        <v>45685</v>
      </c>
      <c r="C79" s="256" t="s">
        <v>484</v>
      </c>
      <c r="D79" s="257" t="s">
        <v>236</v>
      </c>
      <c r="E79" s="258">
        <v>320200</v>
      </c>
    </row>
    <row r="80" spans="1:5" x14ac:dyDescent="0.3">
      <c r="A80" s="254"/>
      <c r="B80" s="255">
        <v>45685</v>
      </c>
      <c r="C80" s="256" t="s">
        <v>484</v>
      </c>
      <c r="D80" s="257" t="s">
        <v>236</v>
      </c>
      <c r="E80" s="258">
        <v>3800</v>
      </c>
    </row>
    <row r="81" spans="1:5" x14ac:dyDescent="0.3">
      <c r="A81" s="254"/>
      <c r="B81" s="255">
        <v>45700</v>
      </c>
      <c r="C81" s="256" t="s">
        <v>485</v>
      </c>
      <c r="D81" s="257" t="s">
        <v>236</v>
      </c>
      <c r="E81" s="258">
        <v>504116.23</v>
      </c>
    </row>
    <row r="82" spans="1:5" x14ac:dyDescent="0.3">
      <c r="A82" s="254"/>
      <c r="B82" s="255">
        <v>45702</v>
      </c>
      <c r="C82" s="256" t="s">
        <v>484</v>
      </c>
      <c r="D82" s="257" t="s">
        <v>236</v>
      </c>
      <c r="E82" s="258">
        <v>12810</v>
      </c>
    </row>
    <row r="83" spans="1:5" x14ac:dyDescent="0.3">
      <c r="A83" s="254"/>
      <c r="B83" s="255">
        <v>45705</v>
      </c>
      <c r="C83" s="256" t="s">
        <v>112</v>
      </c>
      <c r="D83" s="257" t="s">
        <v>236</v>
      </c>
      <c r="E83" s="258">
        <v>37000</v>
      </c>
    </row>
    <row r="84" spans="1:5" x14ac:dyDescent="0.3">
      <c r="A84" s="254"/>
      <c r="B84" s="255">
        <v>45710</v>
      </c>
      <c r="C84" s="256" t="s">
        <v>484</v>
      </c>
      <c r="D84" s="257" t="s">
        <v>236</v>
      </c>
      <c r="E84" s="258">
        <v>738120</v>
      </c>
    </row>
    <row r="85" spans="1:5" x14ac:dyDescent="0.3">
      <c r="A85" s="254"/>
      <c r="B85" s="255">
        <v>45713</v>
      </c>
      <c r="C85" s="256" t="s">
        <v>527</v>
      </c>
      <c r="D85" s="257" t="s">
        <v>236</v>
      </c>
      <c r="E85" s="258">
        <v>49601767.140000001</v>
      </c>
    </row>
    <row r="86" spans="1:5" x14ac:dyDescent="0.3">
      <c r="A86" s="254"/>
      <c r="B86" s="255">
        <v>45717</v>
      </c>
      <c r="C86" s="256" t="s">
        <v>76</v>
      </c>
      <c r="D86" s="257" t="s">
        <v>236</v>
      </c>
      <c r="E86" s="258">
        <v>750000</v>
      </c>
    </row>
    <row r="87" spans="1:5" x14ac:dyDescent="0.3">
      <c r="A87" s="254"/>
      <c r="B87" s="255">
        <v>45718</v>
      </c>
      <c r="C87" s="256" t="s">
        <v>494</v>
      </c>
      <c r="D87" s="257" t="s">
        <v>236</v>
      </c>
      <c r="E87" s="258">
        <v>590440.94999999995</v>
      </c>
    </row>
    <row r="88" spans="1:5" x14ac:dyDescent="0.3">
      <c r="A88" s="254"/>
      <c r="B88" s="255">
        <v>45718</v>
      </c>
      <c r="C88" s="256" t="s">
        <v>494</v>
      </c>
      <c r="D88" s="257" t="s">
        <v>236</v>
      </c>
      <c r="E88" s="258">
        <v>1274352.05</v>
      </c>
    </row>
    <row r="89" spans="1:5" x14ac:dyDescent="0.3">
      <c r="A89" s="254"/>
      <c r="B89" s="255">
        <v>45719</v>
      </c>
      <c r="C89" s="256" t="s">
        <v>122</v>
      </c>
      <c r="D89" s="257" t="s">
        <v>236</v>
      </c>
      <c r="E89" s="258">
        <v>275423.73</v>
      </c>
    </row>
    <row r="90" spans="1:5" x14ac:dyDescent="0.3">
      <c r="A90" s="254"/>
      <c r="B90" s="255">
        <v>45719</v>
      </c>
      <c r="C90" s="256" t="s">
        <v>122</v>
      </c>
      <c r="D90" s="257" t="s">
        <v>236</v>
      </c>
      <c r="E90" s="258">
        <v>351694.92</v>
      </c>
    </row>
    <row r="91" spans="1:5" x14ac:dyDescent="0.3">
      <c r="A91" s="254"/>
      <c r="B91" s="255">
        <v>45722</v>
      </c>
      <c r="C91" s="256" t="s">
        <v>484</v>
      </c>
      <c r="D91" s="257" t="s">
        <v>236</v>
      </c>
      <c r="E91" s="258">
        <v>8000</v>
      </c>
    </row>
    <row r="92" spans="1:5" x14ac:dyDescent="0.3">
      <c r="A92" s="254"/>
      <c r="B92" s="255">
        <v>45731</v>
      </c>
      <c r="C92" s="256" t="s">
        <v>65</v>
      </c>
      <c r="D92" s="257" t="s">
        <v>236</v>
      </c>
      <c r="E92" s="258">
        <v>390000</v>
      </c>
    </row>
    <row r="93" spans="1:5" x14ac:dyDescent="0.3">
      <c r="A93" s="254"/>
      <c r="B93" s="255">
        <v>45731</v>
      </c>
      <c r="C93" s="256" t="s">
        <v>65</v>
      </c>
      <c r="D93" s="257" t="s">
        <v>236</v>
      </c>
      <c r="E93" s="258">
        <v>1076000</v>
      </c>
    </row>
    <row r="94" spans="1:5" x14ac:dyDescent="0.3">
      <c r="A94" s="254"/>
      <c r="B94" s="255">
        <v>45731</v>
      </c>
      <c r="C94" s="256" t="s">
        <v>65</v>
      </c>
      <c r="D94" s="257" t="s">
        <v>236</v>
      </c>
      <c r="E94" s="262">
        <v>864000</v>
      </c>
    </row>
    <row r="95" spans="1:5" x14ac:dyDescent="0.3">
      <c r="A95" s="254"/>
      <c r="B95" s="255">
        <v>45731</v>
      </c>
      <c r="C95" s="256" t="s">
        <v>65</v>
      </c>
      <c r="D95" s="257" t="s">
        <v>236</v>
      </c>
      <c r="E95" s="258">
        <v>5770000</v>
      </c>
    </row>
    <row r="96" spans="1:5" x14ac:dyDescent="0.3">
      <c r="A96" s="254"/>
      <c r="B96" s="255">
        <v>45731</v>
      </c>
      <c r="C96" s="256" t="s">
        <v>65</v>
      </c>
      <c r="D96" s="257" t="s">
        <v>236</v>
      </c>
      <c r="E96" s="258">
        <v>4200000</v>
      </c>
    </row>
    <row r="97" spans="1:5" x14ac:dyDescent="0.3">
      <c r="A97" s="254"/>
      <c r="B97" s="255">
        <v>45735</v>
      </c>
      <c r="C97" s="256" t="s">
        <v>126</v>
      </c>
      <c r="D97" s="257" t="s">
        <v>236</v>
      </c>
      <c r="E97" s="258">
        <v>79644.92</v>
      </c>
    </row>
    <row r="98" spans="1:5" x14ac:dyDescent="0.3">
      <c r="A98" s="254"/>
      <c r="B98" s="255">
        <v>45736</v>
      </c>
      <c r="C98" s="256" t="s">
        <v>393</v>
      </c>
      <c r="D98" s="257" t="s">
        <v>236</v>
      </c>
      <c r="E98" s="258">
        <v>67637</v>
      </c>
    </row>
    <row r="99" spans="1:5" x14ac:dyDescent="0.3">
      <c r="A99" s="254"/>
      <c r="B99" s="255">
        <v>45738</v>
      </c>
      <c r="C99" s="256" t="s">
        <v>65</v>
      </c>
      <c r="D99" s="257" t="s">
        <v>236</v>
      </c>
      <c r="E99" s="258">
        <v>4200000</v>
      </c>
    </row>
    <row r="100" spans="1:5" x14ac:dyDescent="0.3">
      <c r="A100" s="254"/>
      <c r="B100" s="255">
        <v>45738</v>
      </c>
      <c r="C100" s="256" t="s">
        <v>65</v>
      </c>
      <c r="D100" s="257" t="s">
        <v>236</v>
      </c>
      <c r="E100" s="258">
        <v>7400000</v>
      </c>
    </row>
    <row r="101" spans="1:5" x14ac:dyDescent="0.3">
      <c r="A101" s="254"/>
      <c r="B101" s="255">
        <v>45740</v>
      </c>
      <c r="C101" s="256" t="s">
        <v>65</v>
      </c>
      <c r="D101" s="257" t="s">
        <v>236</v>
      </c>
      <c r="E101" s="258">
        <v>310000</v>
      </c>
    </row>
    <row r="102" spans="1:5" x14ac:dyDescent="0.3">
      <c r="A102" s="254"/>
      <c r="B102" s="255">
        <v>45740</v>
      </c>
      <c r="C102" s="256" t="s">
        <v>65</v>
      </c>
      <c r="D102" s="257" t="s">
        <v>236</v>
      </c>
      <c r="E102" s="258">
        <v>3600000</v>
      </c>
    </row>
    <row r="103" spans="1:5" x14ac:dyDescent="0.3">
      <c r="A103" s="254"/>
      <c r="B103" s="255">
        <v>45740</v>
      </c>
      <c r="C103" s="256" t="s">
        <v>65</v>
      </c>
      <c r="D103" s="257" t="s">
        <v>236</v>
      </c>
      <c r="E103" s="258">
        <v>310000</v>
      </c>
    </row>
    <row r="104" spans="1:5" x14ac:dyDescent="0.3">
      <c r="A104" s="254"/>
      <c r="B104" s="255">
        <v>45740</v>
      </c>
      <c r="C104" s="256" t="s">
        <v>65</v>
      </c>
      <c r="D104" s="257" t="s">
        <v>236</v>
      </c>
      <c r="E104" s="258">
        <v>104000</v>
      </c>
    </row>
    <row r="105" spans="1:5" x14ac:dyDescent="0.3">
      <c r="A105" s="254"/>
      <c r="B105" s="255">
        <v>45740</v>
      </c>
      <c r="C105" s="256" t="s">
        <v>65</v>
      </c>
      <c r="D105" s="257" t="s">
        <v>236</v>
      </c>
      <c r="E105" s="258">
        <v>6600000</v>
      </c>
    </row>
    <row r="106" spans="1:5" x14ac:dyDescent="0.3">
      <c r="A106" s="254"/>
      <c r="B106" s="255">
        <v>45740</v>
      </c>
      <c r="C106" s="256" t="s">
        <v>528</v>
      </c>
      <c r="D106" s="257" t="s">
        <v>236</v>
      </c>
      <c r="E106" s="258">
        <v>22305062.699999999</v>
      </c>
    </row>
    <row r="107" spans="1:5" x14ac:dyDescent="0.3">
      <c r="A107" s="254"/>
      <c r="B107" s="255">
        <v>45740</v>
      </c>
      <c r="C107" s="256" t="s">
        <v>439</v>
      </c>
      <c r="D107" s="257" t="s">
        <v>236</v>
      </c>
      <c r="E107" s="258">
        <v>2875755.6</v>
      </c>
    </row>
    <row r="108" spans="1:5" x14ac:dyDescent="0.3">
      <c r="A108" s="254"/>
      <c r="B108" s="255">
        <v>45741</v>
      </c>
      <c r="C108" s="256" t="s">
        <v>494</v>
      </c>
      <c r="D108" s="257" t="s">
        <v>236</v>
      </c>
      <c r="E108" s="258">
        <v>59340</v>
      </c>
    </row>
    <row r="109" spans="1:5" x14ac:dyDescent="0.3">
      <c r="A109" s="254"/>
      <c r="B109" s="255">
        <v>45747</v>
      </c>
      <c r="C109" s="256" t="s">
        <v>65</v>
      </c>
      <c r="D109" s="257" t="s">
        <v>236</v>
      </c>
      <c r="E109" s="258">
        <v>6600000</v>
      </c>
    </row>
    <row r="110" spans="1:5" x14ac:dyDescent="0.3">
      <c r="A110" s="254"/>
      <c r="B110" s="255">
        <v>45747</v>
      </c>
      <c r="C110" s="256" t="s">
        <v>65</v>
      </c>
      <c r="D110" s="257" t="s">
        <v>236</v>
      </c>
      <c r="E110" s="258">
        <v>5770000</v>
      </c>
    </row>
    <row r="111" spans="1:5" x14ac:dyDescent="0.3">
      <c r="A111" s="254"/>
      <c r="B111" s="255">
        <v>45749</v>
      </c>
      <c r="C111" s="256" t="s">
        <v>78</v>
      </c>
      <c r="D111" s="257" t="s">
        <v>236</v>
      </c>
      <c r="E111" s="258">
        <v>1952750</v>
      </c>
    </row>
    <row r="112" spans="1:5" x14ac:dyDescent="0.3">
      <c r="A112" s="254"/>
      <c r="B112" s="255">
        <v>45749</v>
      </c>
      <c r="C112" s="256" t="s">
        <v>529</v>
      </c>
      <c r="D112" s="257" t="s">
        <v>236</v>
      </c>
      <c r="E112" s="258">
        <v>31098</v>
      </c>
    </row>
    <row r="113" spans="1:9" x14ac:dyDescent="0.3">
      <c r="A113" s="254"/>
      <c r="B113" s="255">
        <v>45750</v>
      </c>
      <c r="C113" s="256" t="s">
        <v>93</v>
      </c>
      <c r="D113" s="257" t="s">
        <v>236</v>
      </c>
      <c r="E113" s="258">
        <v>32850</v>
      </c>
    </row>
    <row r="114" spans="1:9" x14ac:dyDescent="0.3">
      <c r="A114" s="254"/>
      <c r="B114" s="255">
        <v>45750</v>
      </c>
      <c r="C114" s="256" t="s">
        <v>530</v>
      </c>
      <c r="D114" s="257" t="s">
        <v>236</v>
      </c>
      <c r="E114" s="258">
        <v>132884</v>
      </c>
    </row>
    <row r="115" spans="1:9" x14ac:dyDescent="0.3">
      <c r="A115" s="254"/>
      <c r="B115" s="255">
        <v>45752</v>
      </c>
      <c r="C115" s="256" t="s">
        <v>530</v>
      </c>
      <c r="D115" s="257" t="s">
        <v>236</v>
      </c>
      <c r="E115" s="258">
        <v>26107</v>
      </c>
    </row>
    <row r="116" spans="1:9" x14ac:dyDescent="0.3">
      <c r="A116" s="254"/>
      <c r="B116" s="255">
        <v>45758</v>
      </c>
      <c r="C116" s="256" t="s">
        <v>130</v>
      </c>
      <c r="D116" s="257" t="s">
        <v>236</v>
      </c>
      <c r="E116" s="258">
        <v>14546.28</v>
      </c>
    </row>
    <row r="117" spans="1:9" x14ac:dyDescent="0.3">
      <c r="A117" s="254"/>
      <c r="B117" s="255">
        <v>45763</v>
      </c>
      <c r="C117" s="256" t="s">
        <v>122</v>
      </c>
      <c r="D117" s="257" t="s">
        <v>236</v>
      </c>
      <c r="E117" s="258">
        <v>963983.05</v>
      </c>
    </row>
    <row r="118" spans="1:9" x14ac:dyDescent="0.3">
      <c r="A118" s="254"/>
      <c r="B118" s="255">
        <v>45763</v>
      </c>
      <c r="C118" s="256" t="s">
        <v>122</v>
      </c>
      <c r="D118" s="257" t="s">
        <v>236</v>
      </c>
      <c r="E118" s="258">
        <v>1230932.2</v>
      </c>
    </row>
    <row r="119" spans="1:9" x14ac:dyDescent="0.3">
      <c r="A119" s="254"/>
      <c r="B119" s="255">
        <v>45766</v>
      </c>
      <c r="C119" s="256" t="s">
        <v>174</v>
      </c>
      <c r="D119" s="257" t="s">
        <v>236</v>
      </c>
      <c r="E119" s="258">
        <v>1091</v>
      </c>
    </row>
    <row r="120" spans="1:9" x14ac:dyDescent="0.3">
      <c r="A120" s="254"/>
      <c r="B120" s="255">
        <v>45770</v>
      </c>
      <c r="C120" s="256" t="s">
        <v>484</v>
      </c>
      <c r="D120" s="257" t="s">
        <v>236</v>
      </c>
      <c r="E120" s="258">
        <v>272257</v>
      </c>
    </row>
    <row r="121" spans="1:9" x14ac:dyDescent="0.3">
      <c r="A121" s="254"/>
      <c r="B121" s="255">
        <v>45772</v>
      </c>
      <c r="C121" s="256" t="s">
        <v>136</v>
      </c>
      <c r="D121" s="257" t="s">
        <v>236</v>
      </c>
      <c r="E121" s="258">
        <v>1889170</v>
      </c>
    </row>
    <row r="122" spans="1:9" x14ac:dyDescent="0.3">
      <c r="A122" s="254"/>
      <c r="B122" s="255">
        <v>45779</v>
      </c>
      <c r="C122" s="256" t="s">
        <v>484</v>
      </c>
      <c r="D122" s="257" t="s">
        <v>236</v>
      </c>
      <c r="E122" s="258">
        <v>5560.8</v>
      </c>
    </row>
    <row r="123" spans="1:9" x14ac:dyDescent="0.3">
      <c r="A123" s="254"/>
      <c r="B123" s="255">
        <v>45779</v>
      </c>
      <c r="C123" s="256" t="s">
        <v>396</v>
      </c>
      <c r="D123" s="257" t="s">
        <v>236</v>
      </c>
      <c r="E123" s="258">
        <v>1489460</v>
      </c>
      <c r="G123" s="127"/>
      <c r="I123" s="40"/>
    </row>
    <row r="124" spans="1:9" x14ac:dyDescent="0.3">
      <c r="A124" s="254"/>
      <c r="B124" s="255">
        <v>45779</v>
      </c>
      <c r="C124" s="256" t="s">
        <v>436</v>
      </c>
      <c r="D124" s="257" t="s">
        <v>236</v>
      </c>
      <c r="E124" s="258">
        <v>91000</v>
      </c>
      <c r="G124" s="127"/>
      <c r="I124" s="40"/>
    </row>
    <row r="125" spans="1:9" x14ac:dyDescent="0.3">
      <c r="A125" s="254"/>
      <c r="B125" s="255">
        <v>45782</v>
      </c>
      <c r="C125" s="256" t="s">
        <v>484</v>
      </c>
      <c r="D125" s="257" t="s">
        <v>236</v>
      </c>
      <c r="E125" s="258">
        <v>543911.22</v>
      </c>
      <c r="G125" s="127"/>
      <c r="I125" s="40"/>
    </row>
    <row r="126" spans="1:9" x14ac:dyDescent="0.3">
      <c r="A126" s="254"/>
      <c r="B126" s="255">
        <v>45783</v>
      </c>
      <c r="C126" s="256" t="s">
        <v>531</v>
      </c>
      <c r="D126" s="257" t="s">
        <v>236</v>
      </c>
      <c r="E126" s="258">
        <v>21000</v>
      </c>
      <c r="G126" s="127"/>
      <c r="I126" s="40"/>
    </row>
    <row r="127" spans="1:9" x14ac:dyDescent="0.3">
      <c r="A127" s="254"/>
      <c r="B127" s="255">
        <v>45783</v>
      </c>
      <c r="C127" s="256" t="s">
        <v>484</v>
      </c>
      <c r="D127" s="257" t="s">
        <v>236</v>
      </c>
      <c r="E127" s="258">
        <v>201.3</v>
      </c>
      <c r="G127" s="127"/>
      <c r="I127" s="40"/>
    </row>
    <row r="128" spans="1:9" x14ac:dyDescent="0.3">
      <c r="A128" s="254"/>
      <c r="B128" s="255">
        <v>45783</v>
      </c>
      <c r="C128" s="256" t="s">
        <v>484</v>
      </c>
      <c r="D128" s="257" t="s">
        <v>236</v>
      </c>
      <c r="E128" s="262">
        <v>-1783.05</v>
      </c>
      <c r="G128" s="127"/>
      <c r="I128" s="40"/>
    </row>
    <row r="129" spans="1:9" x14ac:dyDescent="0.3">
      <c r="A129" s="254"/>
      <c r="B129" s="255">
        <v>45794</v>
      </c>
      <c r="C129" s="256" t="s">
        <v>119</v>
      </c>
      <c r="D129" s="257" t="s">
        <v>236</v>
      </c>
      <c r="E129" s="258">
        <v>702000</v>
      </c>
      <c r="G129" s="127"/>
      <c r="I129" s="40"/>
    </row>
    <row r="130" spans="1:9" x14ac:dyDescent="0.3">
      <c r="A130" s="254"/>
      <c r="B130" s="255">
        <v>45804</v>
      </c>
      <c r="C130" s="256" t="s">
        <v>391</v>
      </c>
      <c r="D130" s="257" t="s">
        <v>236</v>
      </c>
      <c r="E130" s="258">
        <v>78657.06</v>
      </c>
      <c r="G130" s="127"/>
      <c r="I130" s="40"/>
    </row>
    <row r="131" spans="1:9" x14ac:dyDescent="0.3">
      <c r="A131" s="254"/>
      <c r="B131" s="255">
        <v>45807</v>
      </c>
      <c r="C131" s="256" t="s">
        <v>412</v>
      </c>
      <c r="D131" s="257" t="s">
        <v>236</v>
      </c>
      <c r="E131" s="258">
        <v>15593.21</v>
      </c>
      <c r="G131" s="127"/>
      <c r="I131" s="40"/>
    </row>
    <row r="132" spans="1:9" x14ac:dyDescent="0.3">
      <c r="A132" s="254"/>
      <c r="B132" s="255">
        <v>45811</v>
      </c>
      <c r="C132" s="256" t="s">
        <v>532</v>
      </c>
      <c r="D132" s="257" t="s">
        <v>236</v>
      </c>
      <c r="E132" s="258">
        <v>100000</v>
      </c>
      <c r="G132" s="127"/>
      <c r="I132" s="40"/>
    </row>
    <row r="133" spans="1:9" x14ac:dyDescent="0.3">
      <c r="A133" s="254"/>
      <c r="B133" s="255">
        <v>45813</v>
      </c>
      <c r="C133" s="256" t="s">
        <v>391</v>
      </c>
      <c r="D133" s="257" t="s">
        <v>236</v>
      </c>
      <c r="E133" s="258">
        <v>24766</v>
      </c>
      <c r="G133" s="127"/>
      <c r="I133" s="40"/>
    </row>
    <row r="134" spans="1:9" x14ac:dyDescent="0.3">
      <c r="A134" s="254"/>
      <c r="B134" s="255">
        <v>45817</v>
      </c>
      <c r="C134" s="256" t="s">
        <v>392</v>
      </c>
      <c r="D134" s="257" t="s">
        <v>236</v>
      </c>
      <c r="E134" s="258">
        <v>594490</v>
      </c>
      <c r="G134" s="127"/>
      <c r="I134" s="40"/>
    </row>
    <row r="135" spans="1:9" x14ac:dyDescent="0.3">
      <c r="A135" s="254"/>
      <c r="B135" s="255">
        <v>45824</v>
      </c>
      <c r="C135" s="256" t="s">
        <v>110</v>
      </c>
      <c r="D135" s="257" t="s">
        <v>236</v>
      </c>
      <c r="E135" s="258">
        <v>50000</v>
      </c>
      <c r="G135" s="127"/>
      <c r="I135" s="40"/>
    </row>
    <row r="136" spans="1:9" x14ac:dyDescent="0.3">
      <c r="A136" s="254"/>
      <c r="B136" s="255">
        <v>45829</v>
      </c>
      <c r="C136" s="256" t="s">
        <v>113</v>
      </c>
      <c r="D136" s="257" t="s">
        <v>236</v>
      </c>
      <c r="E136" s="258">
        <v>6945000</v>
      </c>
      <c r="G136" s="127"/>
      <c r="I136" s="40"/>
    </row>
    <row r="137" spans="1:9" x14ac:dyDescent="0.3">
      <c r="A137" s="254"/>
      <c r="B137" s="255">
        <v>45849</v>
      </c>
      <c r="C137" s="256" t="s">
        <v>110</v>
      </c>
      <c r="D137" s="257" t="s">
        <v>236</v>
      </c>
      <c r="E137" s="258">
        <v>61000</v>
      </c>
      <c r="G137" s="127"/>
      <c r="I137" s="40"/>
    </row>
    <row r="138" spans="1:9" x14ac:dyDescent="0.3">
      <c r="A138" s="254"/>
      <c r="B138" s="255">
        <v>45852</v>
      </c>
      <c r="C138" s="256" t="s">
        <v>135</v>
      </c>
      <c r="D138" s="257" t="s">
        <v>236</v>
      </c>
      <c r="E138" s="258">
        <v>1450000</v>
      </c>
      <c r="G138" s="127"/>
      <c r="I138" s="40"/>
    </row>
    <row r="139" spans="1:9" x14ac:dyDescent="0.3">
      <c r="A139" s="254"/>
      <c r="B139" s="255">
        <v>45853</v>
      </c>
      <c r="C139" s="256" t="s">
        <v>532</v>
      </c>
      <c r="D139" s="257" t="s">
        <v>236</v>
      </c>
      <c r="E139" s="258">
        <v>10000</v>
      </c>
      <c r="G139" s="127"/>
      <c r="I139" s="40"/>
    </row>
    <row r="140" spans="1:9" x14ac:dyDescent="0.3">
      <c r="A140" s="254"/>
      <c r="B140" s="255">
        <v>45856</v>
      </c>
      <c r="C140" s="256" t="s">
        <v>527</v>
      </c>
      <c r="D140" s="257" t="s">
        <v>236</v>
      </c>
      <c r="E140" s="258">
        <v>1051680</v>
      </c>
      <c r="G140" s="127"/>
      <c r="I140" s="40"/>
    </row>
    <row r="141" spans="1:9" x14ac:dyDescent="0.3">
      <c r="A141" s="254"/>
      <c r="B141" s="255">
        <v>45862</v>
      </c>
      <c r="C141" s="256" t="s">
        <v>124</v>
      </c>
      <c r="D141" s="257" t="s">
        <v>236</v>
      </c>
      <c r="E141" s="258">
        <v>16000</v>
      </c>
      <c r="G141" s="127"/>
      <c r="I141" s="40"/>
    </row>
    <row r="142" spans="1:9" x14ac:dyDescent="0.3">
      <c r="A142" s="254"/>
      <c r="B142" s="255">
        <v>45878</v>
      </c>
      <c r="C142" s="256" t="s">
        <v>174</v>
      </c>
      <c r="D142" s="257" t="s">
        <v>236</v>
      </c>
      <c r="E142" s="258">
        <v>81100</v>
      </c>
      <c r="G142" s="127"/>
      <c r="I142" s="40"/>
    </row>
    <row r="143" spans="1:9" x14ac:dyDescent="0.3">
      <c r="A143" s="254"/>
      <c r="B143" s="255">
        <v>45880</v>
      </c>
      <c r="C143" s="256" t="s">
        <v>394</v>
      </c>
      <c r="D143" s="257" t="s">
        <v>236</v>
      </c>
      <c r="E143" s="258">
        <v>247250</v>
      </c>
      <c r="G143" s="127"/>
      <c r="I143" s="40"/>
    </row>
    <row r="144" spans="1:9" x14ac:dyDescent="0.3">
      <c r="A144" s="254"/>
      <c r="B144" s="255">
        <v>45883</v>
      </c>
      <c r="C144" s="256" t="s">
        <v>394</v>
      </c>
      <c r="D144" s="257" t="s">
        <v>236</v>
      </c>
      <c r="E144" s="258">
        <v>167750</v>
      </c>
      <c r="G144" s="127"/>
      <c r="I144" s="40"/>
    </row>
    <row r="145" spans="1:9" x14ac:dyDescent="0.3">
      <c r="A145" s="254"/>
      <c r="B145" s="255">
        <v>45898</v>
      </c>
      <c r="C145" s="256" t="s">
        <v>533</v>
      </c>
      <c r="D145" s="257" t="s">
        <v>236</v>
      </c>
      <c r="E145" s="258">
        <v>4146.6099999999997</v>
      </c>
      <c r="G145" s="127"/>
      <c r="I145" s="40"/>
    </row>
    <row r="146" spans="1:9" x14ac:dyDescent="0.3">
      <c r="A146" s="254"/>
      <c r="B146" s="255">
        <v>45901</v>
      </c>
      <c r="C146" s="256" t="s">
        <v>440</v>
      </c>
      <c r="D146" s="257" t="s">
        <v>236</v>
      </c>
      <c r="E146" s="258">
        <v>368000</v>
      </c>
      <c r="G146" s="127"/>
      <c r="I146" s="40"/>
    </row>
    <row r="147" spans="1:9" x14ac:dyDescent="0.3">
      <c r="A147" s="254"/>
      <c r="B147" s="255">
        <v>45910</v>
      </c>
      <c r="C147" s="256" t="s">
        <v>122</v>
      </c>
      <c r="D147" s="257" t="s">
        <v>236</v>
      </c>
      <c r="E147" s="258">
        <v>175847.45</v>
      </c>
      <c r="G147" s="127"/>
      <c r="I147" s="40"/>
    </row>
    <row r="148" spans="1:9" x14ac:dyDescent="0.3">
      <c r="A148" s="254"/>
      <c r="B148" s="255">
        <v>45910</v>
      </c>
      <c r="C148" s="256" t="s">
        <v>122</v>
      </c>
      <c r="D148" s="257" t="s">
        <v>236</v>
      </c>
      <c r="E148" s="258">
        <v>137711.85999999999</v>
      </c>
    </row>
    <row r="149" spans="1:9" x14ac:dyDescent="0.3">
      <c r="A149" s="254"/>
      <c r="B149" s="255">
        <v>45911</v>
      </c>
      <c r="C149" s="256" t="s">
        <v>441</v>
      </c>
      <c r="D149" s="257" t="s">
        <v>236</v>
      </c>
      <c r="E149" s="258">
        <v>24500</v>
      </c>
    </row>
    <row r="150" spans="1:9" x14ac:dyDescent="0.3">
      <c r="A150" s="254"/>
      <c r="B150" s="255">
        <v>45913</v>
      </c>
      <c r="C150" s="256" t="s">
        <v>293</v>
      </c>
      <c r="D150" s="257" t="s">
        <v>236</v>
      </c>
      <c r="E150" s="258">
        <v>10389.31</v>
      </c>
    </row>
    <row r="151" spans="1:9" x14ac:dyDescent="0.3">
      <c r="A151" s="254"/>
      <c r="B151" s="255">
        <v>45916</v>
      </c>
      <c r="C151" s="256" t="s">
        <v>442</v>
      </c>
      <c r="D151" s="257" t="s">
        <v>236</v>
      </c>
      <c r="E151" s="258">
        <v>96000</v>
      </c>
    </row>
    <row r="152" spans="1:9" x14ac:dyDescent="0.3">
      <c r="A152" s="254"/>
      <c r="B152" s="255">
        <v>45923</v>
      </c>
      <c r="C152" s="256" t="s">
        <v>440</v>
      </c>
      <c r="D152" s="257" t="s">
        <v>236</v>
      </c>
      <c r="E152" s="258">
        <v>70950</v>
      </c>
    </row>
    <row r="153" spans="1:9" x14ac:dyDescent="0.3">
      <c r="A153" s="254"/>
      <c r="B153" s="255">
        <v>45923</v>
      </c>
      <c r="C153" s="256" t="s">
        <v>337</v>
      </c>
      <c r="D153" s="257" t="s">
        <v>236</v>
      </c>
      <c r="E153" s="258">
        <v>380000</v>
      </c>
    </row>
    <row r="154" spans="1:9" x14ac:dyDescent="0.3">
      <c r="A154" s="254"/>
      <c r="B154" s="255">
        <v>45923</v>
      </c>
      <c r="C154" s="256" t="s">
        <v>392</v>
      </c>
      <c r="D154" s="257" t="s">
        <v>236</v>
      </c>
      <c r="E154" s="258">
        <v>31850</v>
      </c>
    </row>
    <row r="155" spans="1:9" x14ac:dyDescent="0.3">
      <c r="A155" s="254"/>
      <c r="B155" s="255">
        <v>45941</v>
      </c>
      <c r="C155" s="256" t="s">
        <v>440</v>
      </c>
      <c r="D155" s="257" t="s">
        <v>236</v>
      </c>
      <c r="E155" s="258">
        <v>1500</v>
      </c>
    </row>
    <row r="156" spans="1:9" x14ac:dyDescent="0.3">
      <c r="A156" s="254"/>
      <c r="B156" s="255">
        <v>45962</v>
      </c>
      <c r="C156" s="256" t="s">
        <v>27</v>
      </c>
      <c r="D156" s="257" t="s">
        <v>236</v>
      </c>
      <c r="E156" s="258">
        <v>18675000</v>
      </c>
    </row>
    <row r="157" spans="1:9" x14ac:dyDescent="0.3">
      <c r="A157" s="254"/>
      <c r="B157" s="255">
        <v>45962</v>
      </c>
      <c r="C157" s="256" t="s">
        <v>328</v>
      </c>
      <c r="D157" s="257" t="s">
        <v>236</v>
      </c>
      <c r="E157" s="258">
        <v>4350</v>
      </c>
    </row>
    <row r="158" spans="1:9" x14ac:dyDescent="0.3">
      <c r="A158" s="254"/>
      <c r="B158" s="255">
        <v>45962</v>
      </c>
      <c r="C158" s="256" t="s">
        <v>440</v>
      </c>
      <c r="D158" s="257" t="s">
        <v>236</v>
      </c>
      <c r="E158" s="258">
        <v>26200</v>
      </c>
    </row>
    <row r="159" spans="1:9" x14ac:dyDescent="0.3">
      <c r="A159" s="254"/>
      <c r="B159" s="255">
        <v>45972</v>
      </c>
      <c r="C159" s="256" t="s">
        <v>486</v>
      </c>
      <c r="D159" s="257" t="s">
        <v>236</v>
      </c>
      <c r="E159" s="258">
        <v>15250</v>
      </c>
    </row>
    <row r="160" spans="1:9" x14ac:dyDescent="0.3">
      <c r="A160" s="254"/>
      <c r="B160" s="255">
        <v>45973</v>
      </c>
      <c r="C160" s="256" t="s">
        <v>443</v>
      </c>
      <c r="D160" s="257" t="s">
        <v>236</v>
      </c>
      <c r="E160" s="258">
        <v>34500</v>
      </c>
    </row>
    <row r="161" spans="1:7" x14ac:dyDescent="0.3">
      <c r="A161" s="254"/>
      <c r="B161" s="255">
        <v>46003</v>
      </c>
      <c r="C161" s="256" t="s">
        <v>443</v>
      </c>
      <c r="D161" s="257" t="s">
        <v>236</v>
      </c>
      <c r="E161" s="258">
        <v>31500</v>
      </c>
    </row>
    <row r="162" spans="1:7" x14ac:dyDescent="0.3">
      <c r="A162" s="254"/>
      <c r="B162" s="255">
        <v>46007</v>
      </c>
      <c r="C162" s="256" t="s">
        <v>392</v>
      </c>
      <c r="D162" s="257" t="s">
        <v>236</v>
      </c>
      <c r="E162" s="258">
        <v>347369.49</v>
      </c>
    </row>
    <row r="163" spans="1:7" x14ac:dyDescent="0.3">
      <c r="A163" s="254"/>
      <c r="B163" s="255">
        <v>46013</v>
      </c>
      <c r="C163" s="256" t="s">
        <v>436</v>
      </c>
      <c r="D163" s="257" t="s">
        <v>236</v>
      </c>
      <c r="E163" s="258">
        <v>59322</v>
      </c>
    </row>
    <row r="164" spans="1:7" x14ac:dyDescent="0.3">
      <c r="A164" s="254"/>
      <c r="B164" s="255">
        <v>46021</v>
      </c>
      <c r="C164" s="256" t="s">
        <v>133</v>
      </c>
      <c r="D164" s="257" t="s">
        <v>236</v>
      </c>
      <c r="E164" s="258">
        <v>4537.29</v>
      </c>
    </row>
    <row r="165" spans="1:7" x14ac:dyDescent="0.3">
      <c r="A165" s="254"/>
      <c r="B165" s="255">
        <v>46024</v>
      </c>
      <c r="C165" s="256" t="s">
        <v>578</v>
      </c>
      <c r="D165" s="257" t="s">
        <v>236</v>
      </c>
      <c r="E165" s="258">
        <v>237000</v>
      </c>
    </row>
    <row r="166" spans="1:7" x14ac:dyDescent="0.3">
      <c r="A166" s="254"/>
      <c r="B166" s="255">
        <v>46024</v>
      </c>
      <c r="C166" s="256" t="s">
        <v>534</v>
      </c>
      <c r="D166" s="257" t="s">
        <v>236</v>
      </c>
      <c r="E166" s="258">
        <v>25088700</v>
      </c>
    </row>
    <row r="167" spans="1:7" x14ac:dyDescent="0.3">
      <c r="A167" s="254"/>
      <c r="B167" s="255">
        <v>46025</v>
      </c>
      <c r="C167" s="256" t="s">
        <v>484</v>
      </c>
      <c r="D167" s="257" t="s">
        <v>236</v>
      </c>
      <c r="E167" s="258">
        <v>39050</v>
      </c>
    </row>
    <row r="168" spans="1:7" x14ac:dyDescent="0.3">
      <c r="A168" s="254"/>
      <c r="B168" s="255">
        <v>46035</v>
      </c>
      <c r="C168" s="256" t="s">
        <v>65</v>
      </c>
      <c r="D168" s="257" t="s">
        <v>236</v>
      </c>
      <c r="E168" s="258">
        <v>419100</v>
      </c>
    </row>
    <row r="169" spans="1:7" x14ac:dyDescent="0.3">
      <c r="A169" s="254"/>
      <c r="B169" s="255">
        <v>46041</v>
      </c>
      <c r="C169" s="260" t="s">
        <v>444</v>
      </c>
      <c r="D169" s="257" t="s">
        <v>236</v>
      </c>
      <c r="E169" s="261">
        <v>149600</v>
      </c>
      <c r="G169" s="40"/>
    </row>
    <row r="170" spans="1:7" x14ac:dyDescent="0.3">
      <c r="A170" s="254"/>
      <c r="B170" s="255">
        <v>46044</v>
      </c>
      <c r="C170" s="259" t="s">
        <v>484</v>
      </c>
      <c r="D170" s="257" t="s">
        <v>236</v>
      </c>
      <c r="E170" s="262">
        <v>50100</v>
      </c>
      <c r="F170" s="40"/>
    </row>
    <row r="171" spans="1:7" x14ac:dyDescent="0.3">
      <c r="A171" s="254"/>
      <c r="B171" s="255">
        <v>46053</v>
      </c>
      <c r="C171" s="259" t="s">
        <v>394</v>
      </c>
      <c r="D171" s="257" t="s">
        <v>236</v>
      </c>
      <c r="E171" s="262">
        <v>49300</v>
      </c>
    </row>
    <row r="172" spans="1:7" x14ac:dyDescent="0.3">
      <c r="A172" s="254"/>
      <c r="B172" s="255">
        <v>46053</v>
      </c>
      <c r="C172" s="259" t="s">
        <v>445</v>
      </c>
      <c r="D172" s="257" t="s">
        <v>236</v>
      </c>
      <c r="E172" s="262">
        <v>59285</v>
      </c>
    </row>
    <row r="173" spans="1:7" x14ac:dyDescent="0.3">
      <c r="A173" s="254"/>
      <c r="B173" s="255">
        <v>46063</v>
      </c>
      <c r="C173" s="259" t="s">
        <v>392</v>
      </c>
      <c r="D173" s="257" t="s">
        <v>236</v>
      </c>
      <c r="E173" s="262">
        <v>52912</v>
      </c>
    </row>
    <row r="174" spans="1:7" x14ac:dyDescent="0.3">
      <c r="A174" s="254"/>
      <c r="B174" s="255">
        <v>46070</v>
      </c>
      <c r="C174" s="259" t="s">
        <v>446</v>
      </c>
      <c r="D174" s="257" t="s">
        <v>236</v>
      </c>
      <c r="E174" s="262">
        <v>25000</v>
      </c>
    </row>
    <row r="175" spans="1:7" x14ac:dyDescent="0.3">
      <c r="A175" s="254"/>
      <c r="B175" s="255">
        <v>46071</v>
      </c>
      <c r="C175" s="259" t="s">
        <v>392</v>
      </c>
      <c r="D175" s="257" t="s">
        <v>236</v>
      </c>
      <c r="E175" s="262">
        <v>64459.5</v>
      </c>
    </row>
    <row r="176" spans="1:7" x14ac:dyDescent="0.3">
      <c r="A176" s="254"/>
      <c r="B176" s="255">
        <v>46077</v>
      </c>
      <c r="C176" s="259" t="s">
        <v>484</v>
      </c>
      <c r="D176" s="257" t="s">
        <v>236</v>
      </c>
      <c r="E176" s="262">
        <v>833070</v>
      </c>
    </row>
    <row r="177" spans="1:5" x14ac:dyDescent="0.3">
      <c r="A177" s="254"/>
      <c r="B177" s="255">
        <v>46081</v>
      </c>
      <c r="C177" s="259" t="s">
        <v>494</v>
      </c>
      <c r="D177" s="257" t="s">
        <v>236</v>
      </c>
      <c r="E177" s="262">
        <v>581918.76</v>
      </c>
    </row>
    <row r="178" spans="1:5" x14ac:dyDescent="0.3">
      <c r="A178" s="254"/>
      <c r="B178" s="255">
        <v>46081</v>
      </c>
      <c r="C178" s="259" t="s">
        <v>494</v>
      </c>
      <c r="D178" s="257" t="s">
        <v>236</v>
      </c>
      <c r="E178" s="262">
        <v>198680.8</v>
      </c>
    </row>
    <row r="179" spans="1:5" x14ac:dyDescent="0.3">
      <c r="A179" s="254"/>
      <c r="B179" s="255">
        <v>46081</v>
      </c>
      <c r="C179" s="259" t="s">
        <v>494</v>
      </c>
      <c r="D179" s="257" t="s">
        <v>236</v>
      </c>
      <c r="E179" s="262">
        <v>13367.4</v>
      </c>
    </row>
    <row r="180" spans="1:5" x14ac:dyDescent="0.3">
      <c r="A180" s="254"/>
      <c r="B180" s="255">
        <v>46081</v>
      </c>
      <c r="C180" s="259" t="s">
        <v>494</v>
      </c>
      <c r="D180" s="257" t="s">
        <v>236</v>
      </c>
      <c r="E180" s="262">
        <v>219014</v>
      </c>
    </row>
    <row r="181" spans="1:5" x14ac:dyDescent="0.3">
      <c r="A181" s="254"/>
      <c r="B181" s="255">
        <v>46092</v>
      </c>
      <c r="C181" s="259" t="s">
        <v>423</v>
      </c>
      <c r="D181" s="257" t="s">
        <v>236</v>
      </c>
      <c r="E181" s="262">
        <v>4000000</v>
      </c>
    </row>
    <row r="182" spans="1:5" x14ac:dyDescent="0.3">
      <c r="A182" s="254"/>
      <c r="B182" s="255">
        <v>46093</v>
      </c>
      <c r="C182" s="259" t="s">
        <v>423</v>
      </c>
      <c r="D182" s="257" t="s">
        <v>236</v>
      </c>
      <c r="E182" s="262">
        <v>20000000</v>
      </c>
    </row>
    <row r="183" spans="1:5" x14ac:dyDescent="0.3">
      <c r="A183" s="254"/>
      <c r="B183" s="255">
        <v>46097</v>
      </c>
      <c r="C183" s="259" t="s">
        <v>484</v>
      </c>
      <c r="D183" s="257" t="s">
        <v>236</v>
      </c>
      <c r="E183" s="262">
        <v>5925</v>
      </c>
    </row>
    <row r="184" spans="1:5" x14ac:dyDescent="0.3">
      <c r="A184" s="254"/>
      <c r="B184" s="255">
        <v>46104</v>
      </c>
      <c r="C184" s="259" t="s">
        <v>412</v>
      </c>
      <c r="D184" s="257" t="s">
        <v>236</v>
      </c>
      <c r="E184" s="262">
        <v>730.8</v>
      </c>
    </row>
    <row r="185" spans="1:5" x14ac:dyDescent="0.3">
      <c r="A185" s="254"/>
      <c r="B185" s="255">
        <v>46104</v>
      </c>
      <c r="C185" s="259" t="s">
        <v>484</v>
      </c>
      <c r="D185" s="257" t="s">
        <v>236</v>
      </c>
      <c r="E185" s="262">
        <v>73200</v>
      </c>
    </row>
    <row r="186" spans="1:5" x14ac:dyDescent="0.3">
      <c r="A186" s="254"/>
      <c r="B186" s="255">
        <v>46108</v>
      </c>
      <c r="C186" s="259" t="s">
        <v>355</v>
      </c>
      <c r="D186" s="257" t="s">
        <v>236</v>
      </c>
      <c r="E186" s="262">
        <v>1455000</v>
      </c>
    </row>
    <row r="187" spans="1:5" x14ac:dyDescent="0.3">
      <c r="A187" s="254"/>
      <c r="B187" s="255">
        <v>46110</v>
      </c>
      <c r="C187" s="259" t="s">
        <v>484</v>
      </c>
      <c r="D187" s="257" t="s">
        <v>236</v>
      </c>
      <c r="E187" s="262">
        <v>208840</v>
      </c>
    </row>
    <row r="188" spans="1:5" x14ac:dyDescent="0.3">
      <c r="A188" s="254"/>
      <c r="B188" s="255">
        <v>46112</v>
      </c>
      <c r="C188" s="259" t="s">
        <v>484</v>
      </c>
      <c r="D188" s="257" t="s">
        <v>236</v>
      </c>
      <c r="E188" s="262">
        <v>65460</v>
      </c>
    </row>
    <row r="189" spans="1:5" x14ac:dyDescent="0.3">
      <c r="A189" s="254"/>
      <c r="B189" s="255">
        <v>46112</v>
      </c>
      <c r="C189" s="259" t="s">
        <v>393</v>
      </c>
      <c r="D189" s="257" t="s">
        <v>236</v>
      </c>
      <c r="E189" s="262">
        <v>7066</v>
      </c>
    </row>
    <row r="190" spans="1:5" x14ac:dyDescent="0.3">
      <c r="A190" s="254"/>
      <c r="B190" s="255">
        <v>46114</v>
      </c>
      <c r="C190" s="259" t="s">
        <v>484</v>
      </c>
      <c r="D190" s="257" t="s">
        <v>236</v>
      </c>
      <c r="E190" s="262">
        <v>13800</v>
      </c>
    </row>
    <row r="191" spans="1:5" x14ac:dyDescent="0.3">
      <c r="A191" s="254"/>
      <c r="B191" s="255">
        <v>46118</v>
      </c>
      <c r="C191" s="259" t="s">
        <v>412</v>
      </c>
      <c r="D191" s="257" t="s">
        <v>236</v>
      </c>
      <c r="E191" s="262">
        <v>730.8</v>
      </c>
    </row>
    <row r="192" spans="1:5" x14ac:dyDescent="0.3">
      <c r="A192" s="254"/>
      <c r="B192" s="255">
        <v>46118</v>
      </c>
      <c r="C192" s="259" t="s">
        <v>412</v>
      </c>
      <c r="D192" s="257" t="s">
        <v>236</v>
      </c>
      <c r="E192" s="262">
        <v>-730.8</v>
      </c>
    </row>
    <row r="193" spans="1:5" x14ac:dyDescent="0.3">
      <c r="A193" s="254"/>
      <c r="B193" s="255">
        <v>46132</v>
      </c>
      <c r="C193" s="259" t="s">
        <v>392</v>
      </c>
      <c r="D193" s="257" t="s">
        <v>236</v>
      </c>
      <c r="E193" s="262">
        <v>199260</v>
      </c>
    </row>
    <row r="194" spans="1:5" x14ac:dyDescent="0.3">
      <c r="A194" s="254"/>
      <c r="B194" s="255">
        <v>46133</v>
      </c>
      <c r="C194" s="259" t="s">
        <v>494</v>
      </c>
      <c r="D194" s="257" t="s">
        <v>236</v>
      </c>
      <c r="E194" s="262">
        <v>804141.35</v>
      </c>
    </row>
    <row r="195" spans="1:5" x14ac:dyDescent="0.3">
      <c r="A195" s="254"/>
      <c r="B195" s="255">
        <v>46136</v>
      </c>
      <c r="C195" s="259" t="s">
        <v>494</v>
      </c>
      <c r="D195" s="257" t="s">
        <v>236</v>
      </c>
      <c r="E195" s="262">
        <v>1430471.65</v>
      </c>
    </row>
    <row r="196" spans="1:5" x14ac:dyDescent="0.3">
      <c r="A196" s="254"/>
      <c r="B196" s="255">
        <v>46139</v>
      </c>
      <c r="C196" s="259" t="s">
        <v>410</v>
      </c>
      <c r="D196" s="257" t="s">
        <v>236</v>
      </c>
      <c r="E196" s="262">
        <v>16949</v>
      </c>
    </row>
    <row r="197" spans="1:5" x14ac:dyDescent="0.3">
      <c r="A197" s="254"/>
      <c r="B197" s="255">
        <v>46141</v>
      </c>
      <c r="C197" s="259" t="s">
        <v>484</v>
      </c>
      <c r="D197" s="257" t="s">
        <v>236</v>
      </c>
      <c r="E197" s="262">
        <v>28040</v>
      </c>
    </row>
    <row r="198" spans="1:5" x14ac:dyDescent="0.3">
      <c r="A198" s="254"/>
      <c r="B198" s="255">
        <v>46141</v>
      </c>
      <c r="C198" s="259" t="s">
        <v>406</v>
      </c>
      <c r="D198" s="257" t="s">
        <v>236</v>
      </c>
      <c r="E198" s="262">
        <v>1980000</v>
      </c>
    </row>
    <row r="199" spans="1:5" x14ac:dyDescent="0.3">
      <c r="A199" s="254"/>
      <c r="B199" s="255">
        <v>46142</v>
      </c>
      <c r="C199" s="259" t="s">
        <v>355</v>
      </c>
      <c r="D199" s="257" t="s">
        <v>236</v>
      </c>
      <c r="E199" s="262">
        <v>25151.4</v>
      </c>
    </row>
    <row r="200" spans="1:5" x14ac:dyDescent="0.3">
      <c r="A200" s="254"/>
      <c r="B200" s="255">
        <v>46143</v>
      </c>
      <c r="C200" s="259" t="s">
        <v>484</v>
      </c>
      <c r="D200" s="257" t="s">
        <v>236</v>
      </c>
      <c r="E200" s="262">
        <v>8800</v>
      </c>
    </row>
    <row r="201" spans="1:5" x14ac:dyDescent="0.3">
      <c r="A201" s="254"/>
      <c r="B201" s="255">
        <v>46143</v>
      </c>
      <c r="C201" s="259" t="s">
        <v>396</v>
      </c>
      <c r="D201" s="257" t="s">
        <v>236</v>
      </c>
      <c r="E201" s="262">
        <v>189700</v>
      </c>
    </row>
    <row r="202" spans="1:5" x14ac:dyDescent="0.3">
      <c r="A202" s="254"/>
      <c r="B202" s="255">
        <v>46143</v>
      </c>
      <c r="C202" s="259" t="s">
        <v>396</v>
      </c>
      <c r="D202" s="257" t="s">
        <v>236</v>
      </c>
      <c r="E202" s="262">
        <v>133560</v>
      </c>
    </row>
    <row r="203" spans="1:5" x14ac:dyDescent="0.3">
      <c r="A203" s="254"/>
      <c r="B203" s="255">
        <v>46147</v>
      </c>
      <c r="C203" s="259" t="s">
        <v>355</v>
      </c>
      <c r="D203" s="257" t="s">
        <v>236</v>
      </c>
      <c r="E203" s="262">
        <v>18775.400000000001</v>
      </c>
    </row>
    <row r="204" spans="1:5" x14ac:dyDescent="0.3">
      <c r="A204" s="254"/>
      <c r="B204" s="255">
        <v>46153</v>
      </c>
      <c r="C204" s="259" t="s">
        <v>388</v>
      </c>
      <c r="D204" s="257" t="s">
        <v>236</v>
      </c>
      <c r="E204" s="262">
        <v>4057200</v>
      </c>
    </row>
    <row r="205" spans="1:5" x14ac:dyDescent="0.3">
      <c r="A205" s="254"/>
      <c r="B205" s="255">
        <v>46153</v>
      </c>
      <c r="C205" s="259" t="s">
        <v>388</v>
      </c>
      <c r="D205" s="257" t="s">
        <v>236</v>
      </c>
      <c r="E205" s="262">
        <v>4057200</v>
      </c>
    </row>
    <row r="206" spans="1:5" x14ac:dyDescent="0.3">
      <c r="A206" s="254"/>
      <c r="B206" s="255">
        <v>46153</v>
      </c>
      <c r="C206" s="259" t="s">
        <v>388</v>
      </c>
      <c r="D206" s="257" t="s">
        <v>236</v>
      </c>
      <c r="E206" s="262">
        <v>459816</v>
      </c>
    </row>
    <row r="207" spans="1:5" x14ac:dyDescent="0.3">
      <c r="A207" s="254"/>
      <c r="B207" s="255">
        <v>46154</v>
      </c>
      <c r="C207" s="259" t="s">
        <v>486</v>
      </c>
      <c r="D207" s="257" t="s">
        <v>236</v>
      </c>
      <c r="E207" s="262">
        <v>20500</v>
      </c>
    </row>
    <row r="208" spans="1:5" x14ac:dyDescent="0.3">
      <c r="A208" s="254"/>
      <c r="B208" s="255">
        <v>46155</v>
      </c>
      <c r="C208" s="259" t="s">
        <v>388</v>
      </c>
      <c r="D208" s="257" t="s">
        <v>236</v>
      </c>
      <c r="E208" s="262">
        <v>13276998.73</v>
      </c>
    </row>
    <row r="209" spans="1:5" x14ac:dyDescent="0.3">
      <c r="A209" s="254"/>
      <c r="B209" s="255">
        <v>46155</v>
      </c>
      <c r="C209" s="259" t="s">
        <v>388</v>
      </c>
      <c r="D209" s="257" t="s">
        <v>236</v>
      </c>
      <c r="E209" s="262">
        <v>10818295.9</v>
      </c>
    </row>
    <row r="210" spans="1:5" x14ac:dyDescent="0.3">
      <c r="A210" s="254"/>
      <c r="B210" s="255">
        <v>46159</v>
      </c>
      <c r="C210" s="259" t="s">
        <v>443</v>
      </c>
      <c r="D210" s="257" t="s">
        <v>236</v>
      </c>
      <c r="E210" s="262">
        <v>37666</v>
      </c>
    </row>
    <row r="211" spans="1:5" x14ac:dyDescent="0.3">
      <c r="A211" s="254"/>
      <c r="B211" s="255">
        <v>46166</v>
      </c>
      <c r="C211" s="259" t="s">
        <v>484</v>
      </c>
      <c r="D211" s="257" t="s">
        <v>236</v>
      </c>
      <c r="E211" s="262">
        <v>55630</v>
      </c>
    </row>
    <row r="212" spans="1:5" x14ac:dyDescent="0.3">
      <c r="A212" s="254"/>
      <c r="B212" s="255">
        <v>46170</v>
      </c>
      <c r="C212" s="259" t="s">
        <v>484</v>
      </c>
      <c r="D212" s="257" t="s">
        <v>236</v>
      </c>
      <c r="E212" s="262">
        <v>14875</v>
      </c>
    </row>
    <row r="213" spans="1:5" x14ac:dyDescent="0.3">
      <c r="A213" s="254"/>
      <c r="B213" s="255">
        <v>46170</v>
      </c>
      <c r="C213" s="259" t="s">
        <v>27</v>
      </c>
      <c r="D213" s="257" t="s">
        <v>236</v>
      </c>
      <c r="E213" s="262">
        <v>6719000</v>
      </c>
    </row>
    <row r="214" spans="1:5" x14ac:dyDescent="0.3">
      <c r="A214" s="254"/>
      <c r="B214" s="255">
        <v>46170</v>
      </c>
      <c r="C214" s="259" t="s">
        <v>354</v>
      </c>
      <c r="D214" s="257" t="s">
        <v>236</v>
      </c>
      <c r="E214" s="262">
        <v>35000000</v>
      </c>
    </row>
    <row r="215" spans="1:5" x14ac:dyDescent="0.3">
      <c r="A215" s="254"/>
      <c r="B215" s="255">
        <v>46174</v>
      </c>
      <c r="C215" s="259" t="s">
        <v>415</v>
      </c>
      <c r="D215" s="257" t="s">
        <v>236</v>
      </c>
      <c r="E215" s="262">
        <v>1215666</v>
      </c>
    </row>
    <row r="216" spans="1:5" x14ac:dyDescent="0.3">
      <c r="A216" s="254"/>
      <c r="B216" s="255">
        <v>46176</v>
      </c>
      <c r="C216" s="259" t="s">
        <v>353</v>
      </c>
      <c r="D216" s="257" t="s">
        <v>236</v>
      </c>
      <c r="E216" s="262">
        <v>5308170</v>
      </c>
    </row>
    <row r="217" spans="1:5" x14ac:dyDescent="0.3">
      <c r="A217" s="254"/>
      <c r="B217" s="255">
        <v>46179</v>
      </c>
      <c r="C217" s="259" t="s">
        <v>428</v>
      </c>
      <c r="D217" s="257" t="s">
        <v>236</v>
      </c>
      <c r="E217" s="262">
        <v>220000</v>
      </c>
    </row>
    <row r="218" spans="1:5" x14ac:dyDescent="0.3">
      <c r="A218" s="254"/>
      <c r="B218" s="255">
        <v>46185</v>
      </c>
      <c r="C218" s="259" t="s">
        <v>337</v>
      </c>
      <c r="D218" s="257" t="s">
        <v>236</v>
      </c>
      <c r="E218" s="262">
        <v>1225000</v>
      </c>
    </row>
    <row r="219" spans="1:5" x14ac:dyDescent="0.3">
      <c r="A219" s="254"/>
      <c r="B219" s="255">
        <v>46203</v>
      </c>
      <c r="C219" s="259" t="s">
        <v>535</v>
      </c>
      <c r="D219" s="257" t="s">
        <v>236</v>
      </c>
      <c r="E219" s="262">
        <v>169064.6</v>
      </c>
    </row>
    <row r="220" spans="1:5" x14ac:dyDescent="0.3">
      <c r="A220" s="254"/>
      <c r="B220" s="255">
        <v>46212</v>
      </c>
      <c r="C220" s="259" t="s">
        <v>415</v>
      </c>
      <c r="D220" s="257" t="s">
        <v>236</v>
      </c>
      <c r="E220" s="262">
        <v>4471512.5</v>
      </c>
    </row>
    <row r="221" spans="1:5" x14ac:dyDescent="0.3">
      <c r="A221" s="254"/>
      <c r="B221" s="255">
        <v>46214</v>
      </c>
      <c r="C221" s="259" t="s">
        <v>415</v>
      </c>
      <c r="D221" s="257" t="s">
        <v>236</v>
      </c>
      <c r="E221" s="262">
        <v>638400</v>
      </c>
    </row>
    <row r="222" spans="1:5" x14ac:dyDescent="0.3">
      <c r="B222" s="26"/>
      <c r="C222" s="26"/>
      <c r="D222" s="26"/>
      <c r="E222" s="228"/>
    </row>
    <row r="223" spans="1:5" x14ac:dyDescent="0.3">
      <c r="B223" s="26"/>
      <c r="C223" s="35" t="s">
        <v>137</v>
      </c>
      <c r="D223" s="35"/>
      <c r="E223" s="33">
        <f>SUM(E5:E221)</f>
        <v>384012718.86000001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8F39-2194-447B-8DC6-76BFB361F92E}">
  <dimension ref="B1:G15"/>
  <sheetViews>
    <sheetView zoomScale="90" workbookViewId="0">
      <selection activeCell="G4" sqref="G4"/>
    </sheetView>
  </sheetViews>
  <sheetFormatPr defaultColWidth="8.90625" defaultRowHeight="14" x14ac:dyDescent="0.3"/>
  <cols>
    <col min="1" max="1" width="3.6328125" style="25" customWidth="1"/>
    <col min="2" max="2" width="11.453125" style="25" bestFit="1" customWidth="1"/>
    <col min="3" max="3" width="40.36328125" style="25" bestFit="1" customWidth="1"/>
    <col min="4" max="4" width="14.81640625" style="25" bestFit="1" customWidth="1"/>
    <col min="5" max="5" width="10.36328125" style="25" bestFit="1" customWidth="1"/>
    <col min="6" max="6" width="12" style="25" bestFit="1" customWidth="1"/>
    <col min="7" max="16384" width="8.90625" style="25"/>
  </cols>
  <sheetData>
    <row r="1" spans="2:7" ht="16.25" customHeight="1" x14ac:dyDescent="0.3">
      <c r="E1" s="41"/>
    </row>
    <row r="2" spans="2:7" x14ac:dyDescent="0.3">
      <c r="B2" s="30" t="s">
        <v>274</v>
      </c>
    </row>
    <row r="3" spans="2:7" x14ac:dyDescent="0.3">
      <c r="B3" s="63" t="s">
        <v>3</v>
      </c>
      <c r="C3" s="63" t="s">
        <v>1</v>
      </c>
      <c r="D3" s="63" t="s">
        <v>4</v>
      </c>
      <c r="E3" s="63" t="s">
        <v>2</v>
      </c>
    </row>
    <row r="4" spans="2:7" x14ac:dyDescent="0.3">
      <c r="B4" s="263">
        <v>45449</v>
      </c>
      <c r="C4" s="264" t="s">
        <v>121</v>
      </c>
      <c r="D4" s="259" t="s">
        <v>238</v>
      </c>
      <c r="E4" s="265">
        <v>2071000</v>
      </c>
    </row>
    <row r="5" spans="2:7" x14ac:dyDescent="0.3">
      <c r="B5" s="263">
        <v>45492</v>
      </c>
      <c r="C5" s="264" t="s">
        <v>121</v>
      </c>
      <c r="D5" s="259" t="s">
        <v>238</v>
      </c>
      <c r="E5" s="265">
        <v>105805</v>
      </c>
    </row>
    <row r="6" spans="2:7" x14ac:dyDescent="0.3">
      <c r="B6" s="263">
        <v>45492</v>
      </c>
      <c r="C6" s="264" t="s">
        <v>121</v>
      </c>
      <c r="D6" s="259" t="s">
        <v>238</v>
      </c>
      <c r="E6" s="265">
        <v>200</v>
      </c>
    </row>
    <row r="7" spans="2:7" x14ac:dyDescent="0.3">
      <c r="B7" s="263">
        <v>45492</v>
      </c>
      <c r="C7" s="264" t="s">
        <v>121</v>
      </c>
      <c r="D7" s="259" t="s">
        <v>238</v>
      </c>
      <c r="E7" s="265">
        <v>15000</v>
      </c>
    </row>
    <row r="8" spans="2:7" x14ac:dyDescent="0.3">
      <c r="B8" s="263">
        <v>45852</v>
      </c>
      <c r="C8" s="264" t="s">
        <v>118</v>
      </c>
      <c r="D8" s="259" t="s">
        <v>239</v>
      </c>
      <c r="E8" s="265">
        <v>9900</v>
      </c>
    </row>
    <row r="9" spans="2:7" x14ac:dyDescent="0.3">
      <c r="B9" s="263">
        <v>45017</v>
      </c>
      <c r="C9" s="264" t="s">
        <v>237</v>
      </c>
      <c r="D9" s="259" t="s">
        <v>240</v>
      </c>
      <c r="E9" s="265">
        <v>27100000</v>
      </c>
    </row>
    <row r="10" spans="2:7" x14ac:dyDescent="0.3">
      <c r="B10" s="263"/>
      <c r="C10" s="264"/>
      <c r="D10" s="259"/>
      <c r="E10" s="265"/>
    </row>
    <row r="11" spans="2:7" x14ac:dyDescent="0.3">
      <c r="B11" s="259"/>
      <c r="C11" s="260" t="s">
        <v>6</v>
      </c>
      <c r="D11" s="260"/>
      <c r="E11" s="261">
        <f>SUM(E4:E9)</f>
        <v>29301905</v>
      </c>
    </row>
    <row r="13" spans="2:7" x14ac:dyDescent="0.3">
      <c r="E13" s="42"/>
    </row>
    <row r="15" spans="2:7" x14ac:dyDescent="0.3">
      <c r="G15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34B7-09EB-4FAC-812A-13DF6B7516B1}">
  <dimension ref="B1:G40"/>
  <sheetViews>
    <sheetView topLeftCell="A21" zoomScale="90" workbookViewId="0">
      <selection activeCell="G39" sqref="G39"/>
    </sheetView>
  </sheetViews>
  <sheetFormatPr defaultColWidth="8.90625" defaultRowHeight="14" x14ac:dyDescent="0.3"/>
  <cols>
    <col min="1" max="1" width="8.90625" style="25"/>
    <col min="2" max="2" width="16.6328125" style="25" bestFit="1" customWidth="1"/>
    <col min="3" max="3" width="28.90625" style="25" bestFit="1" customWidth="1"/>
    <col min="4" max="4" width="13.90625" style="25" bestFit="1" customWidth="1"/>
    <col min="5" max="5" width="10.08984375" style="25" bestFit="1" customWidth="1"/>
    <col min="6" max="6" width="8.90625" style="25"/>
    <col min="7" max="7" width="12.90625" style="25" bestFit="1" customWidth="1"/>
    <col min="8" max="16384" width="8.90625" style="25"/>
  </cols>
  <sheetData>
    <row r="1" spans="2:5" x14ac:dyDescent="0.3">
      <c r="B1" s="24" t="s">
        <v>252</v>
      </c>
    </row>
    <row r="3" spans="2:5" x14ac:dyDescent="0.3">
      <c r="B3" s="249" t="s">
        <v>3</v>
      </c>
      <c r="C3" s="249" t="s">
        <v>1</v>
      </c>
      <c r="D3" s="249" t="s">
        <v>4</v>
      </c>
      <c r="E3" s="249" t="s">
        <v>2</v>
      </c>
    </row>
    <row r="4" spans="2:5" x14ac:dyDescent="0.3">
      <c r="B4" s="263">
        <v>45311</v>
      </c>
      <c r="C4" s="264" t="s">
        <v>587</v>
      </c>
      <c r="D4" s="259" t="s">
        <v>551</v>
      </c>
      <c r="E4" s="265">
        <v>33050.85</v>
      </c>
    </row>
    <row r="5" spans="2:5" x14ac:dyDescent="0.3">
      <c r="B5" s="263">
        <v>45398</v>
      </c>
      <c r="C5" s="264" t="s">
        <v>405</v>
      </c>
      <c r="D5" s="259" t="s">
        <v>551</v>
      </c>
      <c r="E5" s="265">
        <v>129244</v>
      </c>
    </row>
    <row r="6" spans="2:5" x14ac:dyDescent="0.3">
      <c r="B6" s="263">
        <v>45453</v>
      </c>
      <c r="C6" s="264" t="s">
        <v>123</v>
      </c>
      <c r="D6" s="259" t="s">
        <v>551</v>
      </c>
      <c r="E6" s="265">
        <v>48690.42</v>
      </c>
    </row>
    <row r="7" spans="2:5" x14ac:dyDescent="0.3">
      <c r="B7" s="263">
        <v>45581</v>
      </c>
      <c r="C7" s="264" t="s">
        <v>237</v>
      </c>
      <c r="D7" s="259" t="s">
        <v>551</v>
      </c>
      <c r="E7" s="265">
        <v>1731405</v>
      </c>
    </row>
    <row r="8" spans="2:5" x14ac:dyDescent="0.3">
      <c r="B8" s="263">
        <v>45686</v>
      </c>
      <c r="C8" s="264" t="s">
        <v>123</v>
      </c>
      <c r="D8" s="259" t="s">
        <v>551</v>
      </c>
      <c r="E8" s="265">
        <v>13347.46</v>
      </c>
    </row>
    <row r="9" spans="2:5" x14ac:dyDescent="0.3">
      <c r="B9" s="263">
        <v>45689</v>
      </c>
      <c r="C9" s="264" t="s">
        <v>237</v>
      </c>
      <c r="D9" s="259" t="s">
        <v>551</v>
      </c>
      <c r="E9" s="265">
        <v>840500</v>
      </c>
    </row>
    <row r="10" spans="2:5" x14ac:dyDescent="0.3">
      <c r="B10" s="263">
        <v>45689</v>
      </c>
      <c r="C10" s="264" t="s">
        <v>544</v>
      </c>
      <c r="D10" s="259" t="s">
        <v>551</v>
      </c>
      <c r="E10" s="262">
        <v>-2571905</v>
      </c>
    </row>
    <row r="11" spans="2:5" x14ac:dyDescent="0.3">
      <c r="B11" s="263">
        <v>45723</v>
      </c>
      <c r="C11" s="264" t="s">
        <v>447</v>
      </c>
      <c r="D11" s="259" t="s">
        <v>551</v>
      </c>
      <c r="E11" s="265">
        <v>8473.73</v>
      </c>
    </row>
    <row r="12" spans="2:5" x14ac:dyDescent="0.3">
      <c r="B12" s="263">
        <v>45723</v>
      </c>
      <c r="C12" s="264" t="s">
        <v>116</v>
      </c>
      <c r="D12" s="259" t="s">
        <v>551</v>
      </c>
      <c r="E12" s="265">
        <v>26554.69</v>
      </c>
    </row>
    <row r="13" spans="2:5" x14ac:dyDescent="0.3">
      <c r="B13" s="263">
        <v>45723</v>
      </c>
      <c r="C13" s="264" t="s">
        <v>116</v>
      </c>
      <c r="D13" s="259" t="s">
        <v>551</v>
      </c>
      <c r="E13" s="265">
        <v>11601.69</v>
      </c>
    </row>
    <row r="14" spans="2:5" x14ac:dyDescent="0.3">
      <c r="B14" s="263">
        <v>45723</v>
      </c>
      <c r="C14" s="264" t="s">
        <v>524</v>
      </c>
      <c r="D14" s="259" t="s">
        <v>551</v>
      </c>
      <c r="E14" s="265">
        <v>2372.0300000000002</v>
      </c>
    </row>
    <row r="15" spans="2:5" x14ac:dyDescent="0.3">
      <c r="B15" s="263">
        <v>45723</v>
      </c>
      <c r="C15" s="264" t="s">
        <v>524</v>
      </c>
      <c r="D15" s="259" t="s">
        <v>551</v>
      </c>
      <c r="E15" s="265">
        <v>2541.5300000000002</v>
      </c>
    </row>
    <row r="16" spans="2:5" x14ac:dyDescent="0.3">
      <c r="B16" s="263">
        <v>45773</v>
      </c>
      <c r="C16" s="264" t="s">
        <v>134</v>
      </c>
      <c r="D16" s="259" t="s">
        <v>551</v>
      </c>
      <c r="E16" s="265">
        <v>69491.53</v>
      </c>
    </row>
    <row r="17" spans="2:7" x14ac:dyDescent="0.3">
      <c r="B17" s="263">
        <v>45807</v>
      </c>
      <c r="C17" s="264" t="s">
        <v>114</v>
      </c>
      <c r="D17" s="259" t="s">
        <v>551</v>
      </c>
      <c r="E17" s="265">
        <v>108695.01</v>
      </c>
    </row>
    <row r="18" spans="2:7" x14ac:dyDescent="0.3">
      <c r="B18" s="263">
        <v>45832</v>
      </c>
      <c r="C18" s="264" t="s">
        <v>399</v>
      </c>
      <c r="D18" s="259" t="s">
        <v>551</v>
      </c>
      <c r="E18" s="265">
        <v>6000</v>
      </c>
    </row>
    <row r="19" spans="2:7" x14ac:dyDescent="0.3">
      <c r="B19" s="263">
        <v>45833</v>
      </c>
      <c r="C19" s="264" t="s">
        <v>399</v>
      </c>
      <c r="D19" s="259" t="s">
        <v>551</v>
      </c>
      <c r="E19" s="265">
        <v>34500</v>
      </c>
    </row>
    <row r="20" spans="2:7" x14ac:dyDescent="0.3">
      <c r="B20" s="263">
        <v>45838</v>
      </c>
      <c r="C20" s="264" t="s">
        <v>120</v>
      </c>
      <c r="D20" s="259" t="s">
        <v>551</v>
      </c>
      <c r="E20" s="265">
        <v>278.81</v>
      </c>
    </row>
    <row r="21" spans="2:7" x14ac:dyDescent="0.3">
      <c r="B21" s="263">
        <v>45838</v>
      </c>
      <c r="C21" s="264" t="s">
        <v>132</v>
      </c>
      <c r="D21" s="259" t="s">
        <v>551</v>
      </c>
      <c r="E21" s="265">
        <v>3127.12</v>
      </c>
    </row>
    <row r="22" spans="2:7" x14ac:dyDescent="0.3">
      <c r="B22" s="263">
        <v>45838</v>
      </c>
      <c r="C22" s="264" t="s">
        <v>524</v>
      </c>
      <c r="D22" s="259" t="s">
        <v>551</v>
      </c>
      <c r="E22" s="265">
        <v>611.02</v>
      </c>
    </row>
    <row r="23" spans="2:7" x14ac:dyDescent="0.3">
      <c r="B23" s="263">
        <v>45857</v>
      </c>
      <c r="C23" s="264" t="s">
        <v>588</v>
      </c>
      <c r="D23" s="259" t="s">
        <v>551</v>
      </c>
      <c r="E23" s="265">
        <v>68681</v>
      </c>
    </row>
    <row r="24" spans="2:7" x14ac:dyDescent="0.3">
      <c r="B24" s="263">
        <v>45868</v>
      </c>
      <c r="C24" s="264" t="s">
        <v>123</v>
      </c>
      <c r="D24" s="259" t="s">
        <v>551</v>
      </c>
      <c r="E24" s="265">
        <v>38098.51</v>
      </c>
    </row>
    <row r="25" spans="2:7" x14ac:dyDescent="0.3">
      <c r="B25" s="263">
        <v>45971</v>
      </c>
      <c r="C25" s="264" t="s">
        <v>335</v>
      </c>
      <c r="D25" s="259" t="s">
        <v>551</v>
      </c>
      <c r="E25" s="265">
        <v>10847.46</v>
      </c>
    </row>
    <row r="26" spans="2:7" x14ac:dyDescent="0.3">
      <c r="B26" s="263">
        <v>46029</v>
      </c>
      <c r="C26" s="264" t="s">
        <v>350</v>
      </c>
      <c r="D26" s="259" t="s">
        <v>551</v>
      </c>
      <c r="E26" s="265">
        <v>19399.150000000001</v>
      </c>
    </row>
    <row r="27" spans="2:7" x14ac:dyDescent="0.3">
      <c r="B27" s="263">
        <v>46050</v>
      </c>
      <c r="C27" s="264" t="s">
        <v>405</v>
      </c>
      <c r="D27" s="259" t="s">
        <v>551</v>
      </c>
      <c r="E27" s="265">
        <v>213255.1</v>
      </c>
    </row>
    <row r="28" spans="2:7" x14ac:dyDescent="0.3">
      <c r="B28" s="263">
        <v>46050</v>
      </c>
      <c r="C28" s="259" t="s">
        <v>405</v>
      </c>
      <c r="D28" s="259" t="s">
        <v>551</v>
      </c>
      <c r="E28" s="262">
        <v>27000</v>
      </c>
      <c r="G28" s="175"/>
    </row>
    <row r="29" spans="2:7" x14ac:dyDescent="0.3">
      <c r="B29" s="263">
        <v>46055</v>
      </c>
      <c r="C29" s="259" t="s">
        <v>350</v>
      </c>
      <c r="D29" s="259" t="s">
        <v>551</v>
      </c>
      <c r="E29" s="262">
        <v>2170</v>
      </c>
    </row>
    <row r="30" spans="2:7" x14ac:dyDescent="0.3">
      <c r="B30" s="263">
        <v>46072</v>
      </c>
      <c r="C30" s="259" t="s">
        <v>352</v>
      </c>
      <c r="D30" s="259" t="s">
        <v>551</v>
      </c>
      <c r="E30" s="262">
        <v>1376.77</v>
      </c>
    </row>
    <row r="31" spans="2:7" x14ac:dyDescent="0.3">
      <c r="B31" s="263">
        <v>46146</v>
      </c>
      <c r="C31" s="259" t="s">
        <v>123</v>
      </c>
      <c r="D31" s="259" t="s">
        <v>551</v>
      </c>
      <c r="E31" s="262">
        <v>4237.29</v>
      </c>
    </row>
    <row r="32" spans="2:7" x14ac:dyDescent="0.3">
      <c r="B32" s="263">
        <v>46148</v>
      </c>
      <c r="C32" s="259" t="s">
        <v>350</v>
      </c>
      <c r="D32" s="259" t="s">
        <v>551</v>
      </c>
      <c r="E32" s="262">
        <v>18584</v>
      </c>
    </row>
    <row r="33" spans="2:5" x14ac:dyDescent="0.3">
      <c r="B33" s="263">
        <v>46149</v>
      </c>
      <c r="C33" s="259" t="s">
        <v>350</v>
      </c>
      <c r="D33" s="259" t="s">
        <v>551</v>
      </c>
      <c r="E33" s="262">
        <v>10400</v>
      </c>
    </row>
    <row r="34" spans="2:5" x14ac:dyDescent="0.3">
      <c r="B34" s="263">
        <v>46150</v>
      </c>
      <c r="C34" s="259" t="s">
        <v>405</v>
      </c>
      <c r="D34" s="259" t="s">
        <v>551</v>
      </c>
      <c r="E34" s="262">
        <v>16670.400000000001</v>
      </c>
    </row>
    <row r="35" spans="2:5" x14ac:dyDescent="0.3">
      <c r="B35" s="263">
        <v>46155</v>
      </c>
      <c r="C35" s="259" t="s">
        <v>511</v>
      </c>
      <c r="D35" s="259" t="s">
        <v>551</v>
      </c>
      <c r="E35" s="262">
        <v>326487.28999999998</v>
      </c>
    </row>
    <row r="36" spans="2:5" x14ac:dyDescent="0.3">
      <c r="B36" s="263">
        <v>46155</v>
      </c>
      <c r="C36" s="259" t="s">
        <v>511</v>
      </c>
      <c r="D36" s="259" t="s">
        <v>551</v>
      </c>
      <c r="E36" s="262">
        <v>63500</v>
      </c>
    </row>
    <row r="37" spans="2:5" x14ac:dyDescent="0.3">
      <c r="B37" s="263">
        <v>46155</v>
      </c>
      <c r="C37" s="259" t="s">
        <v>511</v>
      </c>
      <c r="D37" s="259" t="s">
        <v>551</v>
      </c>
      <c r="E37" s="262">
        <v>6500</v>
      </c>
    </row>
    <row r="38" spans="2:5" x14ac:dyDescent="0.3">
      <c r="B38" s="263">
        <v>46158</v>
      </c>
      <c r="C38" s="259" t="s">
        <v>511</v>
      </c>
      <c r="D38" s="259" t="s">
        <v>551</v>
      </c>
      <c r="E38" s="262">
        <v>352600</v>
      </c>
    </row>
    <row r="39" spans="2:5" x14ac:dyDescent="0.3">
      <c r="B39" s="259"/>
      <c r="C39" s="259"/>
      <c r="D39" s="259"/>
      <c r="E39" s="262"/>
    </row>
    <row r="40" spans="2:5" x14ac:dyDescent="0.3">
      <c r="B40" s="259"/>
      <c r="C40" s="259" t="s">
        <v>137</v>
      </c>
      <c r="D40" s="259"/>
      <c r="E40" s="262">
        <f>SUM(E4:E38)</f>
        <v>1678386.86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D98B-6333-4CB8-8AA3-2B0FC6E015D7}">
  <dimension ref="B1:E16"/>
  <sheetViews>
    <sheetView zoomScale="90" workbookViewId="0">
      <selection activeCell="B3" sqref="B3:E14"/>
    </sheetView>
  </sheetViews>
  <sheetFormatPr defaultColWidth="8.90625" defaultRowHeight="14" x14ac:dyDescent="0.3"/>
  <cols>
    <col min="1" max="1" width="8.90625" style="25"/>
    <col min="2" max="2" width="10.6328125" style="25" bestFit="1" customWidth="1"/>
    <col min="3" max="3" width="34.54296875" style="25" bestFit="1" customWidth="1"/>
    <col min="4" max="4" width="17.6328125" style="25" bestFit="1" customWidth="1"/>
    <col min="5" max="5" width="14.6328125" style="25" bestFit="1" customWidth="1"/>
    <col min="6" max="16384" width="8.90625" style="25"/>
  </cols>
  <sheetData>
    <row r="1" spans="2:5" x14ac:dyDescent="0.3">
      <c r="B1" s="24" t="s">
        <v>299</v>
      </c>
    </row>
    <row r="3" spans="2:5" x14ac:dyDescent="0.3">
      <c r="B3" s="249" t="s">
        <v>3</v>
      </c>
      <c r="C3" s="249" t="s">
        <v>1</v>
      </c>
      <c r="D3" s="249" t="s">
        <v>4</v>
      </c>
      <c r="E3" s="249" t="s">
        <v>2</v>
      </c>
    </row>
    <row r="4" spans="2:5" x14ac:dyDescent="0.3">
      <c r="B4" s="263">
        <v>45587</v>
      </c>
      <c r="C4" s="264" t="s">
        <v>57</v>
      </c>
      <c r="D4" s="259" t="s">
        <v>299</v>
      </c>
      <c r="E4" s="266">
        <v>71959.320000000007</v>
      </c>
    </row>
    <row r="5" spans="2:5" x14ac:dyDescent="0.3">
      <c r="B5" s="263">
        <v>45729</v>
      </c>
      <c r="C5" s="264" t="s">
        <v>298</v>
      </c>
      <c r="D5" s="259" t="s">
        <v>299</v>
      </c>
      <c r="E5" s="266">
        <v>92796.2</v>
      </c>
    </row>
    <row r="6" spans="2:5" x14ac:dyDescent="0.3">
      <c r="B6" s="263">
        <v>45729</v>
      </c>
      <c r="C6" s="264" t="s">
        <v>298</v>
      </c>
      <c r="D6" s="259" t="s">
        <v>299</v>
      </c>
      <c r="E6" s="266">
        <v>152542.38</v>
      </c>
    </row>
    <row r="7" spans="2:5" x14ac:dyDescent="0.3">
      <c r="B7" s="263">
        <v>45738</v>
      </c>
      <c r="C7" s="264" t="s">
        <v>298</v>
      </c>
      <c r="D7" s="259" t="s">
        <v>299</v>
      </c>
      <c r="E7" s="266">
        <v>101694.92</v>
      </c>
    </row>
    <row r="8" spans="2:5" x14ac:dyDescent="0.3">
      <c r="B8" s="263">
        <v>45821</v>
      </c>
      <c r="C8" s="264" t="s">
        <v>298</v>
      </c>
      <c r="D8" s="259" t="s">
        <v>299</v>
      </c>
      <c r="E8" s="266">
        <v>73728.81</v>
      </c>
    </row>
    <row r="9" spans="2:5" x14ac:dyDescent="0.3">
      <c r="B9" s="263">
        <v>45865</v>
      </c>
      <c r="C9" s="264" t="s">
        <v>298</v>
      </c>
      <c r="D9" s="259" t="s">
        <v>299</v>
      </c>
      <c r="E9" s="266">
        <v>77966.100000000006</v>
      </c>
    </row>
    <row r="10" spans="2:5" x14ac:dyDescent="0.3">
      <c r="B10" s="263">
        <v>46177</v>
      </c>
      <c r="C10" s="264" t="s">
        <v>438</v>
      </c>
      <c r="D10" s="259" t="s">
        <v>299</v>
      </c>
      <c r="E10" s="266">
        <v>50848</v>
      </c>
    </row>
    <row r="11" spans="2:5" x14ac:dyDescent="0.3">
      <c r="B11" s="263">
        <v>46106</v>
      </c>
      <c r="C11" s="264" t="s">
        <v>438</v>
      </c>
      <c r="D11" s="259" t="s">
        <v>299</v>
      </c>
      <c r="E11" s="266">
        <v>66949.16</v>
      </c>
    </row>
    <row r="12" spans="2:5" x14ac:dyDescent="0.3">
      <c r="B12" s="263">
        <v>46106</v>
      </c>
      <c r="C12" s="264" t="s">
        <v>438</v>
      </c>
      <c r="D12" s="259" t="s">
        <v>299</v>
      </c>
      <c r="E12" s="266">
        <v>33474.58</v>
      </c>
    </row>
    <row r="13" spans="2:5" x14ac:dyDescent="0.3">
      <c r="B13" s="263"/>
      <c r="C13" s="264"/>
      <c r="D13" s="259"/>
      <c r="E13" s="267"/>
    </row>
    <row r="14" spans="2:5" x14ac:dyDescent="0.3">
      <c r="B14" s="259"/>
      <c r="C14" s="260" t="s">
        <v>137</v>
      </c>
      <c r="D14" s="259"/>
      <c r="E14" s="261">
        <f>SUM(E4:E12)</f>
        <v>721959.47</v>
      </c>
    </row>
    <row r="16" spans="2:5" x14ac:dyDescent="0.3">
      <c r="E16" s="27"/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9EAE-6612-41F2-B031-71B5EA587A76}">
  <dimension ref="B2:G167"/>
  <sheetViews>
    <sheetView workbookViewId="0">
      <selection activeCell="D17" sqref="D17"/>
    </sheetView>
  </sheetViews>
  <sheetFormatPr defaultRowHeight="13" x14ac:dyDescent="0.3"/>
  <cols>
    <col min="1" max="1" width="8.7265625" style="269"/>
    <col min="2" max="2" width="24.08984375" style="269" bestFit="1" customWidth="1"/>
    <col min="3" max="3" width="34.6328125" style="269" bestFit="1" customWidth="1"/>
    <col min="4" max="4" width="24.08984375" style="269" bestFit="1" customWidth="1"/>
    <col min="5" max="5" width="10.26953125" style="269" bestFit="1" customWidth="1"/>
    <col min="6" max="6" width="11.6328125" style="269" bestFit="1" customWidth="1"/>
    <col min="7" max="16384" width="8.7265625" style="269"/>
  </cols>
  <sheetData>
    <row r="2" spans="2:5" x14ac:dyDescent="0.3">
      <c r="B2" s="268" t="s">
        <v>242</v>
      </c>
      <c r="C2" s="254"/>
      <c r="D2" s="254"/>
      <c r="E2" s="254"/>
    </row>
    <row r="3" spans="2:5" x14ac:dyDescent="0.3">
      <c r="B3" s="268"/>
      <c r="C3" s="254"/>
      <c r="D3" s="254"/>
      <c r="E3" s="254"/>
    </row>
    <row r="4" spans="2:5" x14ac:dyDescent="0.3">
      <c r="B4" s="268" t="s">
        <v>5</v>
      </c>
      <c r="C4" s="254"/>
      <c r="D4" s="254"/>
      <c r="E4" s="254"/>
    </row>
    <row r="5" spans="2:5" x14ac:dyDescent="0.3">
      <c r="B5" s="249" t="s">
        <v>3</v>
      </c>
      <c r="C5" s="249" t="s">
        <v>1</v>
      </c>
      <c r="D5" s="249" t="s">
        <v>4</v>
      </c>
      <c r="E5" s="249" t="s">
        <v>2</v>
      </c>
    </row>
    <row r="6" spans="2:5" x14ac:dyDescent="0.3">
      <c r="B6" s="263">
        <v>45437</v>
      </c>
      <c r="C6" s="264" t="s">
        <v>111</v>
      </c>
      <c r="D6" s="259" t="s">
        <v>5</v>
      </c>
      <c r="E6" s="265">
        <v>28522.25</v>
      </c>
    </row>
    <row r="7" spans="2:5" x14ac:dyDescent="0.3">
      <c r="B7" s="263">
        <v>45558</v>
      </c>
      <c r="C7" s="264" t="s">
        <v>56</v>
      </c>
      <c r="D7" s="259" t="s">
        <v>5</v>
      </c>
      <c r="E7" s="265">
        <v>44531.25</v>
      </c>
    </row>
    <row r="8" spans="2:5" x14ac:dyDescent="0.3">
      <c r="B8" s="263">
        <v>45581</v>
      </c>
      <c r="C8" s="264" t="s">
        <v>70</v>
      </c>
      <c r="D8" s="259" t="s">
        <v>5</v>
      </c>
      <c r="E8" s="265">
        <v>474317.19</v>
      </c>
    </row>
    <row r="9" spans="2:5" x14ac:dyDescent="0.3">
      <c r="B9" s="263">
        <v>45793</v>
      </c>
      <c r="C9" s="264" t="s">
        <v>56</v>
      </c>
      <c r="D9" s="259" t="s">
        <v>5</v>
      </c>
      <c r="E9" s="265">
        <v>575500</v>
      </c>
    </row>
    <row r="10" spans="2:5" x14ac:dyDescent="0.3">
      <c r="B10" s="263">
        <v>45815</v>
      </c>
      <c r="C10" s="264" t="s">
        <v>128</v>
      </c>
      <c r="D10" s="259" t="s">
        <v>5</v>
      </c>
      <c r="E10" s="265">
        <v>334080</v>
      </c>
    </row>
    <row r="11" spans="2:5" x14ac:dyDescent="0.3">
      <c r="B11" s="263">
        <v>45818</v>
      </c>
      <c r="C11" s="264" t="s">
        <v>56</v>
      </c>
      <c r="D11" s="259" t="s">
        <v>5</v>
      </c>
      <c r="E11" s="265">
        <v>44531.25</v>
      </c>
    </row>
    <row r="12" spans="2:5" x14ac:dyDescent="0.3">
      <c r="B12" s="263">
        <v>45835</v>
      </c>
      <c r="C12" s="264" t="s">
        <v>128</v>
      </c>
      <c r="D12" s="259" t="s">
        <v>5</v>
      </c>
      <c r="E12" s="265">
        <v>112666.4</v>
      </c>
    </row>
    <row r="13" spans="2:5" x14ac:dyDescent="0.3">
      <c r="B13" s="263"/>
      <c r="C13" s="264"/>
      <c r="D13" s="259"/>
      <c r="E13" s="265"/>
    </row>
    <row r="14" spans="2:5" x14ac:dyDescent="0.3">
      <c r="B14" s="263"/>
      <c r="C14" s="270" t="s">
        <v>6</v>
      </c>
      <c r="D14" s="260"/>
      <c r="E14" s="271">
        <f>SUM(E6:E12)</f>
        <v>1614148.3399999999</v>
      </c>
    </row>
    <row r="15" spans="2:5" x14ac:dyDescent="0.3">
      <c r="B15" s="272"/>
      <c r="C15" s="273"/>
      <c r="D15" s="254"/>
      <c r="E15" s="274"/>
    </row>
    <row r="16" spans="2:5" x14ac:dyDescent="0.3">
      <c r="B16" s="268" t="s">
        <v>336</v>
      </c>
      <c r="C16" s="273"/>
      <c r="D16" s="254"/>
      <c r="E16" s="274"/>
    </row>
    <row r="17" spans="2:5" x14ac:dyDescent="0.3">
      <c r="B17" s="249" t="s">
        <v>3</v>
      </c>
      <c r="C17" s="249" t="s">
        <v>1</v>
      </c>
      <c r="D17" s="249" t="s">
        <v>4</v>
      </c>
      <c r="E17" s="249" t="s">
        <v>2</v>
      </c>
    </row>
    <row r="18" spans="2:5" x14ac:dyDescent="0.3">
      <c r="B18" s="272">
        <v>45311</v>
      </c>
      <c r="C18" s="273" t="s">
        <v>24</v>
      </c>
      <c r="D18" s="254" t="s">
        <v>241</v>
      </c>
      <c r="E18" s="274">
        <v>1287300</v>
      </c>
    </row>
    <row r="19" spans="2:5" x14ac:dyDescent="0.3">
      <c r="B19" s="263">
        <v>45312</v>
      </c>
      <c r="C19" s="264" t="s">
        <v>24</v>
      </c>
      <c r="D19" s="259" t="s">
        <v>241</v>
      </c>
      <c r="E19" s="265">
        <v>623329.66</v>
      </c>
    </row>
    <row r="20" spans="2:5" x14ac:dyDescent="0.3">
      <c r="B20" s="263">
        <v>45322</v>
      </c>
      <c r="C20" s="264" t="s">
        <v>24</v>
      </c>
      <c r="D20" s="259" t="s">
        <v>241</v>
      </c>
      <c r="E20" s="265">
        <v>87082.2</v>
      </c>
    </row>
    <row r="21" spans="2:5" x14ac:dyDescent="0.3">
      <c r="B21" s="263">
        <v>45355</v>
      </c>
      <c r="C21" s="264" t="s">
        <v>24</v>
      </c>
      <c r="D21" s="259" t="s">
        <v>241</v>
      </c>
      <c r="E21" s="265">
        <v>1222115.25</v>
      </c>
    </row>
    <row r="22" spans="2:5" x14ac:dyDescent="0.3">
      <c r="B22" s="263">
        <v>45384</v>
      </c>
      <c r="C22" s="264" t="s">
        <v>24</v>
      </c>
      <c r="D22" s="259" t="s">
        <v>241</v>
      </c>
      <c r="E22" s="265">
        <v>465800</v>
      </c>
    </row>
    <row r="23" spans="2:5" x14ac:dyDescent="0.3">
      <c r="B23" s="263">
        <v>45385</v>
      </c>
      <c r="C23" s="264" t="s">
        <v>24</v>
      </c>
      <c r="D23" s="259" t="s">
        <v>241</v>
      </c>
      <c r="E23" s="265">
        <v>483384.75</v>
      </c>
    </row>
    <row r="24" spans="2:5" x14ac:dyDescent="0.3">
      <c r="B24" s="263">
        <v>45386</v>
      </c>
      <c r="C24" s="264" t="s">
        <v>24</v>
      </c>
      <c r="D24" s="259" t="s">
        <v>241</v>
      </c>
      <c r="E24" s="265">
        <v>234018.64</v>
      </c>
    </row>
    <row r="25" spans="2:5" x14ac:dyDescent="0.3">
      <c r="B25" s="263">
        <v>45442</v>
      </c>
      <c r="C25" s="264" t="s">
        <v>24</v>
      </c>
      <c r="D25" s="259" t="s">
        <v>241</v>
      </c>
      <c r="E25" s="265">
        <v>70435.59</v>
      </c>
    </row>
    <row r="26" spans="2:5" x14ac:dyDescent="0.3">
      <c r="B26" s="263">
        <v>45447</v>
      </c>
      <c r="C26" s="264" t="s">
        <v>24</v>
      </c>
      <c r="D26" s="259" t="s">
        <v>241</v>
      </c>
      <c r="E26" s="265">
        <v>38203.39</v>
      </c>
    </row>
    <row r="27" spans="2:5" x14ac:dyDescent="0.3">
      <c r="B27" s="263">
        <v>45448</v>
      </c>
      <c r="C27" s="264" t="s">
        <v>24</v>
      </c>
      <c r="D27" s="259" t="s">
        <v>241</v>
      </c>
      <c r="E27" s="265">
        <v>54166.95</v>
      </c>
    </row>
    <row r="28" spans="2:5" x14ac:dyDescent="0.3">
      <c r="B28" s="263">
        <v>45478</v>
      </c>
      <c r="C28" s="264" t="s">
        <v>24</v>
      </c>
      <c r="D28" s="259" t="s">
        <v>241</v>
      </c>
      <c r="E28" s="265">
        <v>2029443.22</v>
      </c>
    </row>
    <row r="29" spans="2:5" x14ac:dyDescent="0.3">
      <c r="B29" s="263">
        <v>45478</v>
      </c>
      <c r="C29" s="264" t="s">
        <v>24</v>
      </c>
      <c r="D29" s="259" t="s">
        <v>241</v>
      </c>
      <c r="E29" s="265">
        <v>638820.34</v>
      </c>
    </row>
    <row r="30" spans="2:5" x14ac:dyDescent="0.3">
      <c r="B30" s="263">
        <v>45478</v>
      </c>
      <c r="C30" s="264" t="s">
        <v>24</v>
      </c>
      <c r="D30" s="259" t="s">
        <v>241</v>
      </c>
      <c r="E30" s="265">
        <v>542760.17000000004</v>
      </c>
    </row>
    <row r="31" spans="2:5" x14ac:dyDescent="0.3">
      <c r="B31" s="263">
        <v>45478</v>
      </c>
      <c r="C31" s="264" t="s">
        <v>24</v>
      </c>
      <c r="D31" s="259" t="s">
        <v>241</v>
      </c>
      <c r="E31" s="265">
        <v>938966.1</v>
      </c>
    </row>
    <row r="32" spans="2:5" x14ac:dyDescent="0.3">
      <c r="B32" s="263">
        <v>45478</v>
      </c>
      <c r="C32" s="264" t="s">
        <v>24</v>
      </c>
      <c r="D32" s="259" t="s">
        <v>241</v>
      </c>
      <c r="E32" s="265">
        <v>1736650</v>
      </c>
    </row>
    <row r="33" spans="2:7" x14ac:dyDescent="0.3">
      <c r="B33" s="263">
        <v>45488</v>
      </c>
      <c r="C33" s="264" t="s">
        <v>24</v>
      </c>
      <c r="D33" s="259" t="s">
        <v>241</v>
      </c>
      <c r="E33" s="265">
        <v>-595650</v>
      </c>
    </row>
    <row r="34" spans="2:7" x14ac:dyDescent="0.3">
      <c r="B34" s="263">
        <v>45747</v>
      </c>
      <c r="C34" s="264" t="s">
        <v>24</v>
      </c>
      <c r="D34" s="259" t="s">
        <v>241</v>
      </c>
      <c r="E34" s="265">
        <v>-3535</v>
      </c>
    </row>
    <row r="35" spans="2:7" x14ac:dyDescent="0.3">
      <c r="B35" s="263">
        <v>45820</v>
      </c>
      <c r="C35" s="264" t="s">
        <v>24</v>
      </c>
      <c r="D35" s="259" t="s">
        <v>241</v>
      </c>
      <c r="E35" s="265">
        <v>831900</v>
      </c>
    </row>
    <row r="36" spans="2:7" x14ac:dyDescent="0.3">
      <c r="B36" s="263">
        <v>45838</v>
      </c>
      <c r="C36" s="264" t="s">
        <v>24</v>
      </c>
      <c r="D36" s="259" t="s">
        <v>241</v>
      </c>
      <c r="E36" s="265">
        <v>34000</v>
      </c>
    </row>
    <row r="37" spans="2:7" x14ac:dyDescent="0.3">
      <c r="B37" s="263">
        <v>45847</v>
      </c>
      <c r="C37" s="264" t="s">
        <v>24</v>
      </c>
      <c r="D37" s="259" t="s">
        <v>241</v>
      </c>
      <c r="E37" s="265">
        <v>25330</v>
      </c>
    </row>
    <row r="38" spans="2:7" x14ac:dyDescent="0.3">
      <c r="B38" s="263">
        <v>45911</v>
      </c>
      <c r="C38" s="264" t="s">
        <v>24</v>
      </c>
      <c r="D38" s="259" t="s">
        <v>241</v>
      </c>
      <c r="E38" s="265">
        <v>476550</v>
      </c>
    </row>
    <row r="39" spans="2:7" x14ac:dyDescent="0.3">
      <c r="B39" s="263">
        <v>45943</v>
      </c>
      <c r="C39" s="264" t="s">
        <v>24</v>
      </c>
      <c r="D39" s="259" t="s">
        <v>241</v>
      </c>
      <c r="E39" s="265">
        <v>383400</v>
      </c>
    </row>
    <row r="40" spans="2:7" x14ac:dyDescent="0.3">
      <c r="B40" s="263"/>
      <c r="C40" s="264"/>
      <c r="D40" s="259"/>
      <c r="E40" s="265"/>
    </row>
    <row r="41" spans="2:7" x14ac:dyDescent="0.3">
      <c r="B41" s="263"/>
      <c r="C41" s="270" t="s">
        <v>6</v>
      </c>
      <c r="D41" s="260"/>
      <c r="E41" s="271">
        <f>SUM(E18:E39)</f>
        <v>11604471.26</v>
      </c>
    </row>
    <row r="42" spans="2:7" x14ac:dyDescent="0.3">
      <c r="B42" s="272"/>
      <c r="C42" s="273"/>
      <c r="D42" s="254"/>
      <c r="E42" s="274"/>
    </row>
    <row r="43" spans="2:7" x14ac:dyDescent="0.3">
      <c r="B43" s="254" t="s">
        <v>242</v>
      </c>
      <c r="C43" s="273"/>
      <c r="D43" s="254"/>
      <c r="E43" s="274"/>
    </row>
    <row r="44" spans="2:7" x14ac:dyDescent="0.3">
      <c r="B44" s="275" t="s">
        <v>3</v>
      </c>
      <c r="C44" s="275" t="s">
        <v>1</v>
      </c>
      <c r="D44" s="275" t="s">
        <v>4</v>
      </c>
      <c r="E44" s="275" t="s">
        <v>2</v>
      </c>
    </row>
    <row r="45" spans="2:7" x14ac:dyDescent="0.3">
      <c r="B45" s="263">
        <v>45423</v>
      </c>
      <c r="C45" s="264" t="s">
        <v>8</v>
      </c>
      <c r="D45" s="259" t="s">
        <v>242</v>
      </c>
      <c r="E45" s="265">
        <v>239160</v>
      </c>
      <c r="G45" s="276"/>
    </row>
    <row r="46" spans="2:7" x14ac:dyDescent="0.3">
      <c r="B46" s="263">
        <v>45426</v>
      </c>
      <c r="C46" s="264" t="s">
        <v>115</v>
      </c>
      <c r="D46" s="259" t="s">
        <v>242</v>
      </c>
      <c r="E46" s="265">
        <v>8561.86</v>
      </c>
      <c r="G46" s="276"/>
    </row>
    <row r="47" spans="2:7" x14ac:dyDescent="0.3">
      <c r="B47" s="263">
        <v>45427</v>
      </c>
      <c r="C47" s="264" t="s">
        <v>432</v>
      </c>
      <c r="D47" s="259" t="s">
        <v>242</v>
      </c>
      <c r="E47" s="265">
        <v>1553.39</v>
      </c>
      <c r="G47" s="276"/>
    </row>
    <row r="48" spans="2:7" x14ac:dyDescent="0.3">
      <c r="B48" s="263">
        <v>45427</v>
      </c>
      <c r="C48" s="264" t="s">
        <v>433</v>
      </c>
      <c r="D48" s="259" t="s">
        <v>242</v>
      </c>
      <c r="E48" s="265">
        <v>8801.69</v>
      </c>
      <c r="G48" s="276"/>
    </row>
    <row r="49" spans="2:7" x14ac:dyDescent="0.3">
      <c r="B49" s="263">
        <v>45428</v>
      </c>
      <c r="C49" s="264" t="s">
        <v>44</v>
      </c>
      <c r="D49" s="259" t="s">
        <v>242</v>
      </c>
      <c r="E49" s="265">
        <v>1094.92</v>
      </c>
      <c r="G49" s="276"/>
    </row>
    <row r="50" spans="2:7" x14ac:dyDescent="0.3">
      <c r="B50" s="263">
        <v>45444</v>
      </c>
      <c r="C50" s="264" t="s">
        <v>506</v>
      </c>
      <c r="D50" s="259" t="s">
        <v>242</v>
      </c>
      <c r="E50" s="265">
        <v>95409.33</v>
      </c>
      <c r="G50" s="276"/>
    </row>
    <row r="51" spans="2:7" x14ac:dyDescent="0.3">
      <c r="B51" s="263">
        <v>45451</v>
      </c>
      <c r="C51" s="264" t="s">
        <v>506</v>
      </c>
      <c r="D51" s="259" t="s">
        <v>242</v>
      </c>
      <c r="E51" s="265">
        <v>45861.86</v>
      </c>
      <c r="G51" s="276"/>
    </row>
    <row r="52" spans="2:7" x14ac:dyDescent="0.3">
      <c r="B52" s="263">
        <v>45453</v>
      </c>
      <c r="C52" s="264" t="s">
        <v>506</v>
      </c>
      <c r="D52" s="259" t="s">
        <v>242</v>
      </c>
      <c r="E52" s="265">
        <v>9806.7800000000007</v>
      </c>
      <c r="G52" s="276"/>
    </row>
    <row r="53" spans="2:7" x14ac:dyDescent="0.3">
      <c r="B53" s="263">
        <v>45453</v>
      </c>
      <c r="C53" s="264" t="s">
        <v>506</v>
      </c>
      <c r="D53" s="259" t="s">
        <v>242</v>
      </c>
      <c r="E53" s="269">
        <v>-8883.0499999999993</v>
      </c>
      <c r="G53" s="276"/>
    </row>
    <row r="54" spans="2:7" x14ac:dyDescent="0.3">
      <c r="B54" s="263">
        <v>45454</v>
      </c>
      <c r="C54" s="264" t="s">
        <v>8</v>
      </c>
      <c r="D54" s="259" t="s">
        <v>242</v>
      </c>
      <c r="E54" s="265">
        <v>190380</v>
      </c>
      <c r="G54" s="276"/>
    </row>
    <row r="55" spans="2:7" x14ac:dyDescent="0.3">
      <c r="B55" s="263">
        <v>45456</v>
      </c>
      <c r="C55" s="264" t="s">
        <v>9</v>
      </c>
      <c r="D55" s="259" t="s">
        <v>242</v>
      </c>
      <c r="E55" s="265">
        <v>4883.8999999999996</v>
      </c>
      <c r="G55" s="276"/>
    </row>
    <row r="56" spans="2:7" x14ac:dyDescent="0.3">
      <c r="B56" s="263">
        <v>45472</v>
      </c>
      <c r="C56" s="264" t="s">
        <v>9</v>
      </c>
      <c r="D56" s="259" t="s">
        <v>242</v>
      </c>
      <c r="E56" s="265">
        <v>357828.81</v>
      </c>
      <c r="G56" s="276"/>
    </row>
    <row r="57" spans="2:7" x14ac:dyDescent="0.3">
      <c r="B57" s="263">
        <v>45476</v>
      </c>
      <c r="C57" s="264" t="s">
        <v>22</v>
      </c>
      <c r="D57" s="259" t="s">
        <v>242</v>
      </c>
      <c r="E57" s="265">
        <v>20650</v>
      </c>
      <c r="G57" s="276"/>
    </row>
    <row r="58" spans="2:7" x14ac:dyDescent="0.3">
      <c r="B58" s="263">
        <v>45477</v>
      </c>
      <c r="C58" s="264" t="s">
        <v>22</v>
      </c>
      <c r="D58" s="259" t="s">
        <v>242</v>
      </c>
      <c r="E58" s="265">
        <v>3235.01</v>
      </c>
      <c r="G58" s="276"/>
    </row>
    <row r="59" spans="2:7" x14ac:dyDescent="0.3">
      <c r="B59" s="263">
        <v>45489</v>
      </c>
      <c r="C59" s="264" t="s">
        <v>434</v>
      </c>
      <c r="D59" s="259" t="s">
        <v>242</v>
      </c>
      <c r="E59" s="265">
        <v>29938.98</v>
      </c>
      <c r="G59" s="276"/>
    </row>
    <row r="60" spans="2:7" x14ac:dyDescent="0.3">
      <c r="B60" s="263">
        <v>45491</v>
      </c>
      <c r="C60" s="264" t="s">
        <v>22</v>
      </c>
      <c r="D60" s="259" t="s">
        <v>242</v>
      </c>
      <c r="E60" s="265">
        <v>4470.34</v>
      </c>
      <c r="G60" s="276"/>
    </row>
    <row r="61" spans="2:7" x14ac:dyDescent="0.3">
      <c r="B61" s="263">
        <v>45497</v>
      </c>
      <c r="C61" s="264" t="s">
        <v>431</v>
      </c>
      <c r="D61" s="259" t="s">
        <v>242</v>
      </c>
      <c r="E61" s="265">
        <v>5023.7299999999996</v>
      </c>
      <c r="G61" s="276"/>
    </row>
    <row r="62" spans="2:7" x14ac:dyDescent="0.3">
      <c r="B62" s="263">
        <v>45497</v>
      </c>
      <c r="C62" s="264" t="s">
        <v>506</v>
      </c>
      <c r="D62" s="259" t="s">
        <v>242</v>
      </c>
      <c r="E62" s="265">
        <v>7502.54</v>
      </c>
      <c r="G62" s="276"/>
    </row>
    <row r="63" spans="2:7" x14ac:dyDescent="0.3">
      <c r="B63" s="263">
        <v>45506</v>
      </c>
      <c r="C63" s="264" t="s">
        <v>435</v>
      </c>
      <c r="D63" s="259" t="s">
        <v>242</v>
      </c>
      <c r="E63" s="265">
        <v>3135.59</v>
      </c>
      <c r="G63" s="276"/>
    </row>
    <row r="64" spans="2:7" x14ac:dyDescent="0.3">
      <c r="B64" s="263">
        <v>45514</v>
      </c>
      <c r="C64" s="264" t="s">
        <v>506</v>
      </c>
      <c r="D64" s="259" t="s">
        <v>242</v>
      </c>
      <c r="E64" s="265">
        <v>29675.5</v>
      </c>
      <c r="G64" s="276"/>
    </row>
    <row r="65" spans="2:7" x14ac:dyDescent="0.3">
      <c r="B65" s="263">
        <v>45514</v>
      </c>
      <c r="C65" s="264" t="s">
        <v>506</v>
      </c>
      <c r="D65" s="259" t="s">
        <v>242</v>
      </c>
      <c r="E65" s="265">
        <v>34961.760000000002</v>
      </c>
      <c r="G65" s="276"/>
    </row>
    <row r="66" spans="2:7" x14ac:dyDescent="0.3">
      <c r="B66" s="263">
        <v>45527</v>
      </c>
      <c r="C66" s="264" t="s">
        <v>579</v>
      </c>
      <c r="D66" s="259" t="s">
        <v>242</v>
      </c>
      <c r="E66" s="265">
        <v>9400</v>
      </c>
      <c r="G66" s="276"/>
    </row>
    <row r="67" spans="2:7" x14ac:dyDescent="0.3">
      <c r="B67" s="263">
        <v>45531</v>
      </c>
      <c r="C67" s="264" t="s">
        <v>22</v>
      </c>
      <c r="D67" s="259" t="s">
        <v>242</v>
      </c>
      <c r="E67" s="265">
        <v>2160</v>
      </c>
      <c r="G67" s="276"/>
    </row>
    <row r="68" spans="2:7" x14ac:dyDescent="0.3">
      <c r="B68" s="263">
        <v>45531</v>
      </c>
      <c r="C68" s="264" t="s">
        <v>580</v>
      </c>
      <c r="D68" s="259" t="s">
        <v>242</v>
      </c>
      <c r="E68" s="265">
        <v>204194.92</v>
      </c>
      <c r="G68" s="276"/>
    </row>
    <row r="69" spans="2:7" x14ac:dyDescent="0.3">
      <c r="B69" s="263">
        <v>45534</v>
      </c>
      <c r="C69" s="264" t="s">
        <v>22</v>
      </c>
      <c r="D69" s="259" t="s">
        <v>242</v>
      </c>
      <c r="E69" s="265">
        <v>77807.63</v>
      </c>
      <c r="G69" s="276"/>
    </row>
    <row r="70" spans="2:7" x14ac:dyDescent="0.3">
      <c r="B70" s="263">
        <v>45544</v>
      </c>
      <c r="C70" s="264" t="s">
        <v>581</v>
      </c>
      <c r="D70" s="259" t="s">
        <v>242</v>
      </c>
      <c r="E70" s="265">
        <v>5932.2</v>
      </c>
      <c r="G70" s="276"/>
    </row>
    <row r="71" spans="2:7" x14ac:dyDescent="0.3">
      <c r="B71" s="263">
        <v>45549</v>
      </c>
      <c r="C71" s="264" t="s">
        <v>580</v>
      </c>
      <c r="D71" s="259" t="s">
        <v>242</v>
      </c>
      <c r="E71" s="265">
        <v>5593.22</v>
      </c>
      <c r="G71" s="276"/>
    </row>
    <row r="72" spans="2:7" x14ac:dyDescent="0.3">
      <c r="B72" s="263">
        <v>45551</v>
      </c>
      <c r="C72" s="264" t="s">
        <v>581</v>
      </c>
      <c r="D72" s="259" t="s">
        <v>242</v>
      </c>
      <c r="E72" s="265">
        <v>5932.2</v>
      </c>
      <c r="G72" s="276"/>
    </row>
    <row r="73" spans="2:7" x14ac:dyDescent="0.3">
      <c r="B73" s="263">
        <v>45551</v>
      </c>
      <c r="C73" s="264" t="s">
        <v>580</v>
      </c>
      <c r="D73" s="259" t="s">
        <v>242</v>
      </c>
      <c r="E73" s="269">
        <v>-5593.22</v>
      </c>
      <c r="G73" s="276"/>
    </row>
    <row r="74" spans="2:7" x14ac:dyDescent="0.3">
      <c r="B74" s="263">
        <v>45561</v>
      </c>
      <c r="C74" s="264" t="s">
        <v>54</v>
      </c>
      <c r="D74" s="259" t="s">
        <v>242</v>
      </c>
      <c r="E74" s="265">
        <v>13644.06</v>
      </c>
      <c r="G74" s="276"/>
    </row>
    <row r="75" spans="2:7" x14ac:dyDescent="0.3">
      <c r="B75" s="263">
        <v>45572</v>
      </c>
      <c r="C75" s="264" t="s">
        <v>431</v>
      </c>
      <c r="D75" s="259" t="s">
        <v>242</v>
      </c>
      <c r="E75" s="265">
        <v>33601.69</v>
      </c>
      <c r="G75" s="276"/>
    </row>
    <row r="76" spans="2:7" x14ac:dyDescent="0.3">
      <c r="B76" s="263">
        <v>45582</v>
      </c>
      <c r="C76" s="264" t="s">
        <v>579</v>
      </c>
      <c r="D76" s="259" t="s">
        <v>242</v>
      </c>
      <c r="E76" s="265">
        <v>24050</v>
      </c>
      <c r="G76" s="276"/>
    </row>
    <row r="77" spans="2:7" x14ac:dyDescent="0.3">
      <c r="B77" s="263">
        <v>45612</v>
      </c>
      <c r="C77" s="264" t="s">
        <v>506</v>
      </c>
      <c r="D77" s="259" t="s">
        <v>242</v>
      </c>
      <c r="E77" s="265">
        <v>35122.03</v>
      </c>
      <c r="G77" s="276"/>
    </row>
    <row r="78" spans="2:7" x14ac:dyDescent="0.3">
      <c r="B78" s="263">
        <v>45615</v>
      </c>
      <c r="C78" s="264" t="s">
        <v>582</v>
      </c>
      <c r="D78" s="259" t="s">
        <v>242</v>
      </c>
      <c r="E78" s="265">
        <v>26983.05</v>
      </c>
      <c r="G78" s="276"/>
    </row>
    <row r="79" spans="2:7" x14ac:dyDescent="0.3">
      <c r="B79" s="263">
        <v>45615</v>
      </c>
      <c r="C79" s="264" t="s">
        <v>582</v>
      </c>
      <c r="D79" s="259" t="s">
        <v>242</v>
      </c>
      <c r="E79" s="265">
        <v>103012.71</v>
      </c>
      <c r="G79" s="276"/>
    </row>
    <row r="80" spans="2:7" x14ac:dyDescent="0.3">
      <c r="B80" s="263">
        <v>45626</v>
      </c>
      <c r="C80" s="264" t="s">
        <v>506</v>
      </c>
      <c r="D80" s="259" t="s">
        <v>242</v>
      </c>
      <c r="E80" s="265">
        <v>32692.37</v>
      </c>
      <c r="G80" s="276"/>
    </row>
    <row r="81" spans="2:7" x14ac:dyDescent="0.3">
      <c r="B81" s="263">
        <v>45638</v>
      </c>
      <c r="C81" s="264" t="s">
        <v>106</v>
      </c>
      <c r="D81" s="259" t="s">
        <v>242</v>
      </c>
      <c r="E81" s="265">
        <v>6508.48</v>
      </c>
      <c r="G81" s="276"/>
    </row>
    <row r="82" spans="2:7" x14ac:dyDescent="0.3">
      <c r="B82" s="263">
        <v>45639</v>
      </c>
      <c r="C82" s="264" t="s">
        <v>582</v>
      </c>
      <c r="D82" s="259" t="s">
        <v>242</v>
      </c>
      <c r="E82" s="269">
        <v>-2474.58</v>
      </c>
      <c r="G82" s="276"/>
    </row>
    <row r="83" spans="2:7" x14ac:dyDescent="0.3">
      <c r="B83" s="263">
        <v>45640</v>
      </c>
      <c r="C83" s="264" t="s">
        <v>582</v>
      </c>
      <c r="D83" s="259" t="s">
        <v>242</v>
      </c>
      <c r="E83" s="265">
        <v>10332.19</v>
      </c>
      <c r="G83" s="276"/>
    </row>
    <row r="84" spans="2:7" x14ac:dyDescent="0.3">
      <c r="B84" s="263">
        <v>45647</v>
      </c>
      <c r="C84" s="264" t="s">
        <v>582</v>
      </c>
      <c r="D84" s="259" t="s">
        <v>242</v>
      </c>
      <c r="E84" s="265">
        <v>4533.8999999999996</v>
      </c>
      <c r="G84" s="276"/>
    </row>
    <row r="85" spans="2:7" x14ac:dyDescent="0.3">
      <c r="B85" s="263">
        <v>45651</v>
      </c>
      <c r="C85" s="264" t="s">
        <v>87</v>
      </c>
      <c r="D85" s="259" t="s">
        <v>242</v>
      </c>
      <c r="E85" s="265">
        <v>49068.639999999999</v>
      </c>
      <c r="G85" s="276"/>
    </row>
    <row r="86" spans="2:7" x14ac:dyDescent="0.3">
      <c r="B86" s="263">
        <v>45654</v>
      </c>
      <c r="C86" s="264" t="s">
        <v>582</v>
      </c>
      <c r="D86" s="259" t="s">
        <v>242</v>
      </c>
      <c r="E86" s="265">
        <v>3508.48</v>
      </c>
      <c r="G86" s="276"/>
    </row>
    <row r="87" spans="2:7" x14ac:dyDescent="0.3">
      <c r="B87" s="263">
        <v>45657</v>
      </c>
      <c r="C87" s="264" t="s">
        <v>106</v>
      </c>
      <c r="D87" s="259" t="s">
        <v>242</v>
      </c>
      <c r="E87" s="265">
        <v>4338.9799999999996</v>
      </c>
      <c r="G87" s="276"/>
    </row>
    <row r="88" spans="2:7" x14ac:dyDescent="0.3">
      <c r="B88" s="263">
        <v>45667</v>
      </c>
      <c r="C88" s="264" t="s">
        <v>582</v>
      </c>
      <c r="D88" s="259" t="s">
        <v>242</v>
      </c>
      <c r="E88" s="265">
        <v>13419.51</v>
      </c>
      <c r="G88" s="276"/>
    </row>
    <row r="89" spans="2:7" x14ac:dyDescent="0.3">
      <c r="B89" s="263">
        <v>45667</v>
      </c>
      <c r="C89" s="264" t="s">
        <v>582</v>
      </c>
      <c r="D89" s="259" t="s">
        <v>242</v>
      </c>
      <c r="E89" s="265">
        <v>1762.71</v>
      </c>
      <c r="G89" s="276"/>
    </row>
    <row r="90" spans="2:7" x14ac:dyDescent="0.3">
      <c r="B90" s="263">
        <v>45668</v>
      </c>
      <c r="C90" s="264" t="s">
        <v>9</v>
      </c>
      <c r="D90" s="259" t="s">
        <v>242</v>
      </c>
      <c r="E90" s="265">
        <v>26307.61</v>
      </c>
      <c r="G90" s="276"/>
    </row>
    <row r="91" spans="2:7" x14ac:dyDescent="0.3">
      <c r="B91" s="263">
        <v>45668</v>
      </c>
      <c r="C91" s="264" t="s">
        <v>580</v>
      </c>
      <c r="D91" s="259" t="s">
        <v>242</v>
      </c>
      <c r="E91" s="265">
        <v>44391.519999999997</v>
      </c>
      <c r="G91" s="276"/>
    </row>
    <row r="92" spans="2:7" x14ac:dyDescent="0.3">
      <c r="B92" s="263">
        <v>45670</v>
      </c>
      <c r="C92" s="264" t="s">
        <v>22</v>
      </c>
      <c r="D92" s="259" t="s">
        <v>242</v>
      </c>
      <c r="E92" s="265">
        <v>20700</v>
      </c>
      <c r="G92" s="276"/>
    </row>
    <row r="93" spans="2:7" x14ac:dyDescent="0.3">
      <c r="B93" s="263">
        <v>45672</v>
      </c>
      <c r="C93" s="264" t="s">
        <v>54</v>
      </c>
      <c r="D93" s="259" t="s">
        <v>242</v>
      </c>
      <c r="E93" s="265">
        <v>41833.050000000003</v>
      </c>
      <c r="G93" s="276"/>
    </row>
    <row r="94" spans="2:7" x14ac:dyDescent="0.3">
      <c r="B94" s="263">
        <v>45678</v>
      </c>
      <c r="C94" s="264" t="s">
        <v>106</v>
      </c>
      <c r="D94" s="259" t="s">
        <v>242</v>
      </c>
      <c r="E94" s="265">
        <v>3855.94</v>
      </c>
      <c r="G94" s="276"/>
    </row>
    <row r="95" spans="2:7" x14ac:dyDescent="0.3">
      <c r="B95" s="263">
        <v>45692</v>
      </c>
      <c r="C95" s="264" t="s">
        <v>117</v>
      </c>
      <c r="D95" s="259" t="s">
        <v>242</v>
      </c>
      <c r="E95" s="265">
        <v>17466.07</v>
      </c>
      <c r="G95" s="276"/>
    </row>
    <row r="96" spans="2:7" x14ac:dyDescent="0.3">
      <c r="B96" s="263">
        <v>45692</v>
      </c>
      <c r="C96" s="264" t="s">
        <v>9</v>
      </c>
      <c r="D96" s="259" t="s">
        <v>242</v>
      </c>
      <c r="E96" s="265">
        <v>17469.080000000002</v>
      </c>
      <c r="G96" s="276"/>
    </row>
    <row r="97" spans="2:7" x14ac:dyDescent="0.3">
      <c r="B97" s="263">
        <v>45698</v>
      </c>
      <c r="C97" s="264" t="s">
        <v>513</v>
      </c>
      <c r="D97" s="259" t="s">
        <v>242</v>
      </c>
      <c r="E97" s="265">
        <v>2999999.75</v>
      </c>
      <c r="G97" s="276"/>
    </row>
    <row r="98" spans="2:7" x14ac:dyDescent="0.3">
      <c r="B98" s="263">
        <v>45706</v>
      </c>
      <c r="C98" s="264" t="s">
        <v>582</v>
      </c>
      <c r="D98" s="259" t="s">
        <v>242</v>
      </c>
      <c r="E98" s="265">
        <v>11016.96</v>
      </c>
      <c r="G98" s="276"/>
    </row>
    <row r="99" spans="2:7" x14ac:dyDescent="0.3">
      <c r="B99" s="263">
        <v>45715</v>
      </c>
      <c r="C99" s="264" t="s">
        <v>434</v>
      </c>
      <c r="D99" s="259" t="s">
        <v>242</v>
      </c>
      <c r="E99" s="265">
        <v>21327.119999999999</v>
      </c>
      <c r="G99" s="276"/>
    </row>
    <row r="100" spans="2:7" x14ac:dyDescent="0.3">
      <c r="B100" s="263">
        <v>45740</v>
      </c>
      <c r="C100" s="264" t="s">
        <v>22</v>
      </c>
      <c r="D100" s="259" t="s">
        <v>242</v>
      </c>
      <c r="E100" s="265">
        <v>31614</v>
      </c>
      <c r="G100" s="276"/>
    </row>
    <row r="101" spans="2:7" x14ac:dyDescent="0.3">
      <c r="B101" s="263">
        <v>45773</v>
      </c>
      <c r="C101" s="264" t="s">
        <v>22</v>
      </c>
      <c r="D101" s="259" t="s">
        <v>242</v>
      </c>
      <c r="E101" s="265">
        <v>41710</v>
      </c>
      <c r="G101" s="276"/>
    </row>
    <row r="102" spans="2:7" x14ac:dyDescent="0.3">
      <c r="B102" s="263">
        <v>45773</v>
      </c>
      <c r="C102" s="264" t="s">
        <v>431</v>
      </c>
      <c r="D102" s="259" t="s">
        <v>242</v>
      </c>
      <c r="E102" s="265">
        <v>61722.03</v>
      </c>
      <c r="G102" s="276"/>
    </row>
    <row r="103" spans="2:7" x14ac:dyDescent="0.3">
      <c r="B103" s="263">
        <v>45778</v>
      </c>
      <c r="C103" s="264" t="s">
        <v>22</v>
      </c>
      <c r="D103" s="259" t="s">
        <v>242</v>
      </c>
      <c r="E103" s="265">
        <v>3015</v>
      </c>
      <c r="G103" s="276"/>
    </row>
    <row r="104" spans="2:7" x14ac:dyDescent="0.3">
      <c r="B104" s="263">
        <v>45779</v>
      </c>
      <c r="C104" s="264" t="s">
        <v>133</v>
      </c>
      <c r="D104" s="259" t="s">
        <v>242</v>
      </c>
      <c r="E104" s="265">
        <v>19809.32</v>
      </c>
      <c r="G104" s="276"/>
    </row>
    <row r="105" spans="2:7" x14ac:dyDescent="0.3">
      <c r="B105" s="263">
        <v>45784</v>
      </c>
      <c r="C105" s="264" t="s">
        <v>431</v>
      </c>
      <c r="D105" s="259" t="s">
        <v>242</v>
      </c>
      <c r="E105" s="265">
        <v>37566.1</v>
      </c>
      <c r="G105" s="276"/>
    </row>
    <row r="106" spans="2:7" x14ac:dyDescent="0.3">
      <c r="B106" s="263">
        <v>45838</v>
      </c>
      <c r="C106" s="264" t="s">
        <v>506</v>
      </c>
      <c r="D106" s="259" t="s">
        <v>242</v>
      </c>
      <c r="E106" s="265">
        <v>9692.0499999999993</v>
      </c>
      <c r="G106" s="276"/>
    </row>
    <row r="107" spans="2:7" x14ac:dyDescent="0.3">
      <c r="B107" s="263">
        <v>45841</v>
      </c>
      <c r="C107" s="264" t="s">
        <v>506</v>
      </c>
      <c r="D107" s="259" t="s">
        <v>242</v>
      </c>
      <c r="E107" s="265">
        <v>1841.14</v>
      </c>
      <c r="G107" s="276"/>
    </row>
    <row r="108" spans="2:7" x14ac:dyDescent="0.3">
      <c r="B108" s="263">
        <v>45841</v>
      </c>
      <c r="C108" s="264" t="s">
        <v>506</v>
      </c>
      <c r="D108" s="259" t="s">
        <v>242</v>
      </c>
      <c r="E108" s="269">
        <v>-1876.2</v>
      </c>
      <c r="G108" s="276"/>
    </row>
    <row r="109" spans="2:7" x14ac:dyDescent="0.3">
      <c r="B109" s="263">
        <v>45848</v>
      </c>
      <c r="C109" s="264" t="s">
        <v>22</v>
      </c>
      <c r="D109" s="259" t="s">
        <v>242</v>
      </c>
      <c r="E109" s="265">
        <v>58029.66</v>
      </c>
      <c r="G109" s="276"/>
    </row>
    <row r="110" spans="2:7" x14ac:dyDescent="0.3">
      <c r="B110" s="263">
        <v>45852</v>
      </c>
      <c r="C110" s="264" t="s">
        <v>87</v>
      </c>
      <c r="D110" s="259" t="s">
        <v>242</v>
      </c>
      <c r="E110" s="265">
        <v>9915.26</v>
      </c>
      <c r="G110" s="276"/>
    </row>
    <row r="111" spans="2:7" x14ac:dyDescent="0.3">
      <c r="B111" s="263">
        <v>45854</v>
      </c>
      <c r="C111" s="264" t="s">
        <v>22</v>
      </c>
      <c r="D111" s="259" t="s">
        <v>242</v>
      </c>
      <c r="E111" s="265">
        <v>8500</v>
      </c>
      <c r="G111" s="276"/>
    </row>
    <row r="112" spans="2:7" x14ac:dyDescent="0.3">
      <c r="B112" s="263">
        <v>45864</v>
      </c>
      <c r="C112" s="264" t="s">
        <v>22</v>
      </c>
      <c r="D112" s="259" t="s">
        <v>242</v>
      </c>
      <c r="E112" s="265">
        <v>440</v>
      </c>
      <c r="G112" s="276"/>
    </row>
    <row r="113" spans="2:7" x14ac:dyDescent="0.3">
      <c r="B113" s="263">
        <v>45874</v>
      </c>
      <c r="C113" s="264" t="s">
        <v>431</v>
      </c>
      <c r="D113" s="259" t="s">
        <v>242</v>
      </c>
      <c r="E113" s="265">
        <v>215551.2</v>
      </c>
      <c r="G113" s="276"/>
    </row>
    <row r="114" spans="2:7" x14ac:dyDescent="0.3">
      <c r="B114" s="263">
        <v>45889</v>
      </c>
      <c r="C114" s="264" t="s">
        <v>484</v>
      </c>
      <c r="D114" s="259" t="s">
        <v>242</v>
      </c>
      <c r="E114" s="265">
        <v>72100</v>
      </c>
      <c r="G114" s="276"/>
    </row>
    <row r="115" spans="2:7" x14ac:dyDescent="0.3">
      <c r="B115" s="263">
        <v>45890</v>
      </c>
      <c r="C115" s="264" t="s">
        <v>276</v>
      </c>
      <c r="D115" s="259" t="s">
        <v>242</v>
      </c>
      <c r="E115" s="265">
        <v>22245.759999999998</v>
      </c>
      <c r="G115" s="276"/>
    </row>
    <row r="116" spans="2:7" x14ac:dyDescent="0.3">
      <c r="B116" s="263">
        <v>45892</v>
      </c>
      <c r="C116" s="264" t="s">
        <v>276</v>
      </c>
      <c r="D116" s="259" t="s">
        <v>242</v>
      </c>
      <c r="E116" s="265">
        <v>25423.599999999999</v>
      </c>
      <c r="G116" s="276"/>
    </row>
    <row r="117" spans="2:7" x14ac:dyDescent="0.3">
      <c r="B117" s="263">
        <v>45895</v>
      </c>
      <c r="C117" s="264" t="s">
        <v>484</v>
      </c>
      <c r="D117" s="259" t="s">
        <v>242</v>
      </c>
      <c r="E117" s="265">
        <v>536640</v>
      </c>
      <c r="G117" s="276"/>
    </row>
    <row r="118" spans="2:7" x14ac:dyDescent="0.3">
      <c r="B118" s="263">
        <v>45899</v>
      </c>
      <c r="C118" s="264" t="s">
        <v>276</v>
      </c>
      <c r="D118" s="259" t="s">
        <v>242</v>
      </c>
      <c r="E118" s="265">
        <v>15466.08</v>
      </c>
      <c r="G118" s="276"/>
    </row>
    <row r="119" spans="2:7" x14ac:dyDescent="0.3">
      <c r="B119" s="263">
        <v>45901</v>
      </c>
      <c r="C119" s="264" t="s">
        <v>431</v>
      </c>
      <c r="D119" s="259" t="s">
        <v>242</v>
      </c>
      <c r="E119" s="265">
        <v>7144.07</v>
      </c>
      <c r="G119" s="276"/>
    </row>
    <row r="120" spans="2:7" x14ac:dyDescent="0.3">
      <c r="B120" s="263">
        <v>45906</v>
      </c>
      <c r="C120" s="264" t="s">
        <v>506</v>
      </c>
      <c r="D120" s="259" t="s">
        <v>242</v>
      </c>
      <c r="E120" s="265">
        <v>68768.789999999994</v>
      </c>
      <c r="G120" s="276"/>
    </row>
    <row r="121" spans="2:7" x14ac:dyDescent="0.3">
      <c r="B121" s="263">
        <v>45910</v>
      </c>
      <c r="C121" s="264" t="s">
        <v>484</v>
      </c>
      <c r="D121" s="259" t="s">
        <v>242</v>
      </c>
      <c r="E121" s="265">
        <v>22400</v>
      </c>
      <c r="G121" s="276"/>
    </row>
    <row r="122" spans="2:7" x14ac:dyDescent="0.3">
      <c r="B122" s="263">
        <v>45933</v>
      </c>
      <c r="C122" s="264" t="s">
        <v>484</v>
      </c>
      <c r="D122" s="259" t="s">
        <v>242</v>
      </c>
      <c r="E122" s="265">
        <v>5234</v>
      </c>
      <c r="G122" s="276"/>
    </row>
    <row r="123" spans="2:7" x14ac:dyDescent="0.3">
      <c r="B123" s="263">
        <v>45934</v>
      </c>
      <c r="C123" s="264" t="s">
        <v>484</v>
      </c>
      <c r="D123" s="259" t="s">
        <v>242</v>
      </c>
      <c r="E123" s="265">
        <v>47168</v>
      </c>
      <c r="G123" s="276"/>
    </row>
    <row r="124" spans="2:7" x14ac:dyDescent="0.3">
      <c r="B124" s="263">
        <v>45938</v>
      </c>
      <c r="C124" s="264" t="s">
        <v>484</v>
      </c>
      <c r="D124" s="259" t="s">
        <v>242</v>
      </c>
      <c r="E124" s="265">
        <v>8835</v>
      </c>
      <c r="G124" s="276"/>
    </row>
    <row r="125" spans="2:7" x14ac:dyDescent="0.3">
      <c r="B125" s="263">
        <v>45976</v>
      </c>
      <c r="C125" s="264" t="s">
        <v>437</v>
      </c>
      <c r="D125" s="259" t="s">
        <v>242</v>
      </c>
      <c r="E125" s="265">
        <v>2053.0100000000002</v>
      </c>
      <c r="G125" s="276"/>
    </row>
    <row r="126" spans="2:7" x14ac:dyDescent="0.3">
      <c r="B126" s="263">
        <v>46020</v>
      </c>
      <c r="C126" s="264" t="s">
        <v>484</v>
      </c>
      <c r="D126" s="259" t="s">
        <v>242</v>
      </c>
      <c r="E126" s="265">
        <v>105476.27</v>
      </c>
      <c r="G126" s="276"/>
    </row>
    <row r="127" spans="2:7" x14ac:dyDescent="0.3">
      <c r="B127" s="263">
        <v>46029</v>
      </c>
      <c r="C127" s="264" t="s">
        <v>506</v>
      </c>
      <c r="D127" s="259" t="s">
        <v>242</v>
      </c>
      <c r="E127" s="265">
        <v>83438.41</v>
      </c>
      <c r="G127" s="276"/>
    </row>
    <row r="128" spans="2:7" x14ac:dyDescent="0.3">
      <c r="B128" s="263">
        <v>46059</v>
      </c>
      <c r="C128" s="264" t="s">
        <v>22</v>
      </c>
      <c r="D128" s="259" t="s">
        <v>242</v>
      </c>
      <c r="E128" s="265">
        <v>67140.03</v>
      </c>
      <c r="G128" s="276"/>
    </row>
    <row r="129" spans="2:7" x14ac:dyDescent="0.3">
      <c r="B129" s="263">
        <v>46063</v>
      </c>
      <c r="C129" s="264" t="s">
        <v>431</v>
      </c>
      <c r="D129" s="259" t="s">
        <v>242</v>
      </c>
      <c r="E129" s="265">
        <v>25912.41</v>
      </c>
      <c r="G129" s="276"/>
    </row>
    <row r="130" spans="2:7" x14ac:dyDescent="0.3">
      <c r="B130" s="263">
        <v>46080</v>
      </c>
      <c r="C130" s="264" t="s">
        <v>579</v>
      </c>
      <c r="D130" s="259" t="s">
        <v>242</v>
      </c>
      <c r="E130" s="265">
        <v>19750</v>
      </c>
      <c r="G130" s="276"/>
    </row>
    <row r="131" spans="2:7" x14ac:dyDescent="0.3">
      <c r="B131" s="263">
        <v>46126</v>
      </c>
      <c r="C131" s="264" t="s">
        <v>430</v>
      </c>
      <c r="D131" s="259" t="s">
        <v>242</v>
      </c>
      <c r="E131" s="265">
        <v>112625</v>
      </c>
      <c r="G131" s="276"/>
    </row>
    <row r="132" spans="2:7" x14ac:dyDescent="0.3">
      <c r="B132" s="263">
        <v>46147</v>
      </c>
      <c r="C132" s="264" t="s">
        <v>22</v>
      </c>
      <c r="D132" s="259" t="s">
        <v>242</v>
      </c>
      <c r="E132" s="265">
        <v>115481.1</v>
      </c>
      <c r="G132" s="276"/>
    </row>
    <row r="133" spans="2:7" x14ac:dyDescent="0.3">
      <c r="B133" s="263">
        <v>46148</v>
      </c>
      <c r="C133" s="264" t="s">
        <v>22</v>
      </c>
      <c r="D133" s="259" t="s">
        <v>242</v>
      </c>
      <c r="E133" s="265">
        <v>20100</v>
      </c>
      <c r="G133" s="276"/>
    </row>
    <row r="134" spans="2:7" x14ac:dyDescent="0.3">
      <c r="B134" s="263">
        <v>46151</v>
      </c>
      <c r="C134" s="264" t="s">
        <v>431</v>
      </c>
      <c r="D134" s="259" t="s">
        <v>242</v>
      </c>
      <c r="E134" s="265">
        <v>93983.08</v>
      </c>
      <c r="G134" s="276"/>
    </row>
    <row r="135" spans="2:7" x14ac:dyDescent="0.3">
      <c r="B135" s="263">
        <v>46168</v>
      </c>
      <c r="C135" s="264" t="s">
        <v>422</v>
      </c>
      <c r="D135" s="259" t="s">
        <v>242</v>
      </c>
      <c r="E135" s="265">
        <v>146100</v>
      </c>
      <c r="G135" s="276"/>
    </row>
    <row r="136" spans="2:7" x14ac:dyDescent="0.3">
      <c r="B136" s="263">
        <v>46181</v>
      </c>
      <c r="C136" s="264" t="s">
        <v>106</v>
      </c>
      <c r="D136" s="259" t="s">
        <v>242</v>
      </c>
      <c r="E136" s="265">
        <v>3457.64</v>
      </c>
      <c r="G136" s="276"/>
    </row>
    <row r="137" spans="2:7" x14ac:dyDescent="0.3">
      <c r="B137" s="263"/>
      <c r="C137" s="264"/>
      <c r="D137" s="259"/>
      <c r="E137" s="265"/>
    </row>
    <row r="138" spans="2:7" x14ac:dyDescent="0.3">
      <c r="B138" s="263"/>
      <c r="C138" s="270" t="s">
        <v>137</v>
      </c>
      <c r="D138" s="260"/>
      <c r="E138" s="271">
        <f>SUM(E45:E136)</f>
        <v>7087423.0199999986</v>
      </c>
    </row>
    <row r="139" spans="2:7" x14ac:dyDescent="0.3">
      <c r="B139" s="272"/>
      <c r="C139" s="273"/>
      <c r="D139" s="254"/>
      <c r="E139" s="189"/>
      <c r="F139" s="277"/>
    </row>
    <row r="140" spans="2:7" x14ac:dyDescent="0.3">
      <c r="B140" s="254" t="s">
        <v>338</v>
      </c>
      <c r="C140" s="273"/>
      <c r="D140" s="254"/>
      <c r="E140" s="274"/>
    </row>
    <row r="141" spans="2:7" x14ac:dyDescent="0.3">
      <c r="B141" s="275" t="s">
        <v>3</v>
      </c>
      <c r="C141" s="275" t="s">
        <v>1</v>
      </c>
      <c r="D141" s="275" t="s">
        <v>4</v>
      </c>
      <c r="E141" s="275" t="s">
        <v>2</v>
      </c>
    </row>
    <row r="142" spans="2:7" x14ac:dyDescent="0.3">
      <c r="B142" s="263">
        <v>45864</v>
      </c>
      <c r="C142" s="264" t="s">
        <v>22</v>
      </c>
      <c r="D142" s="259" t="s">
        <v>338</v>
      </c>
      <c r="E142" s="265">
        <v>91735</v>
      </c>
    </row>
    <row r="143" spans="2:7" x14ac:dyDescent="0.3">
      <c r="B143" s="263">
        <v>45982</v>
      </c>
      <c r="C143" s="264" t="s">
        <v>22</v>
      </c>
      <c r="D143" s="259" t="s">
        <v>338</v>
      </c>
      <c r="E143" s="265">
        <v>36252.04</v>
      </c>
    </row>
    <row r="144" spans="2:7" x14ac:dyDescent="0.3">
      <c r="B144" s="263">
        <v>46002</v>
      </c>
      <c r="C144" s="264" t="s">
        <v>351</v>
      </c>
      <c r="D144" s="259" t="s">
        <v>338</v>
      </c>
      <c r="E144" s="265">
        <v>36080</v>
      </c>
    </row>
    <row r="145" spans="2:5" x14ac:dyDescent="0.3">
      <c r="B145" s="263"/>
      <c r="C145" s="264"/>
      <c r="D145" s="259"/>
      <c r="E145" s="265"/>
    </row>
    <row r="146" spans="2:5" x14ac:dyDescent="0.3">
      <c r="B146" s="263"/>
      <c r="C146" s="270" t="s">
        <v>137</v>
      </c>
      <c r="D146" s="260"/>
      <c r="E146" s="271">
        <f>SUM(E142:E145)</f>
        <v>164067.04</v>
      </c>
    </row>
    <row r="147" spans="2:5" x14ac:dyDescent="0.3">
      <c r="B147" s="272"/>
      <c r="C147" s="273"/>
      <c r="D147" s="254"/>
      <c r="E147" s="274"/>
    </row>
    <row r="148" spans="2:5" x14ac:dyDescent="0.3">
      <c r="B148" s="259" t="s">
        <v>583</v>
      </c>
      <c r="C148" s="273"/>
      <c r="D148" s="254"/>
      <c r="E148" s="274"/>
    </row>
    <row r="149" spans="2:5" x14ac:dyDescent="0.3">
      <c r="B149" s="275" t="s">
        <v>3</v>
      </c>
      <c r="C149" s="275" t="s">
        <v>1</v>
      </c>
      <c r="D149" s="275" t="s">
        <v>4</v>
      </c>
      <c r="E149" s="275" t="s">
        <v>2</v>
      </c>
    </row>
    <row r="150" spans="2:5" x14ac:dyDescent="0.3">
      <c r="B150" s="263">
        <v>46220</v>
      </c>
      <c r="C150" s="264" t="s">
        <v>584</v>
      </c>
      <c r="D150" s="259" t="s">
        <v>583</v>
      </c>
      <c r="E150" s="265">
        <v>445486.45</v>
      </c>
    </row>
    <row r="151" spans="2:5" x14ac:dyDescent="0.3">
      <c r="B151" s="263"/>
      <c r="C151" s="264"/>
      <c r="D151" s="259"/>
      <c r="E151" s="265"/>
    </row>
    <row r="152" spans="2:5" x14ac:dyDescent="0.3">
      <c r="B152" s="263"/>
      <c r="C152" s="270" t="s">
        <v>137</v>
      </c>
      <c r="D152" s="260"/>
      <c r="E152" s="265">
        <f>SUM(E150)</f>
        <v>445486.45</v>
      </c>
    </row>
    <row r="153" spans="2:5" x14ac:dyDescent="0.3">
      <c r="B153" s="272"/>
      <c r="C153" s="273"/>
      <c r="D153" s="254"/>
      <c r="E153" s="274"/>
    </row>
    <row r="154" spans="2:5" x14ac:dyDescent="0.3">
      <c r="B154" s="272"/>
      <c r="C154" s="273"/>
      <c r="D154" s="254"/>
      <c r="E154" s="274"/>
    </row>
    <row r="155" spans="2:5" x14ac:dyDescent="0.3">
      <c r="B155" s="259" t="s">
        <v>243</v>
      </c>
      <c r="C155" s="273"/>
      <c r="D155" s="254"/>
      <c r="E155" s="274"/>
    </row>
    <row r="156" spans="2:5" x14ac:dyDescent="0.3">
      <c r="B156" s="275" t="s">
        <v>3</v>
      </c>
      <c r="C156" s="275" t="s">
        <v>1</v>
      </c>
      <c r="D156" s="275" t="s">
        <v>4</v>
      </c>
      <c r="E156" s="275" t="s">
        <v>2</v>
      </c>
    </row>
    <row r="157" spans="2:5" x14ac:dyDescent="0.3">
      <c r="B157" s="263">
        <v>45527</v>
      </c>
      <c r="C157" s="264" t="s">
        <v>125</v>
      </c>
      <c r="D157" s="259" t="s">
        <v>243</v>
      </c>
      <c r="E157" s="265">
        <v>294350</v>
      </c>
    </row>
    <row r="158" spans="2:5" x14ac:dyDescent="0.3">
      <c r="B158" s="263">
        <v>45532</v>
      </c>
      <c r="C158" s="264" t="s">
        <v>125</v>
      </c>
      <c r="D158" s="259" t="s">
        <v>243</v>
      </c>
      <c r="E158" s="265">
        <v>253750</v>
      </c>
    </row>
    <row r="159" spans="2:5" x14ac:dyDescent="0.3">
      <c r="B159" s="263">
        <v>45534</v>
      </c>
      <c r="C159" s="264" t="s">
        <v>125</v>
      </c>
      <c r="D159" s="259" t="s">
        <v>243</v>
      </c>
      <c r="E159" s="265">
        <v>233450</v>
      </c>
    </row>
    <row r="160" spans="2:5" x14ac:dyDescent="0.3">
      <c r="B160" s="263">
        <v>45570</v>
      </c>
      <c r="C160" s="264" t="s">
        <v>125</v>
      </c>
      <c r="D160" s="259" t="s">
        <v>243</v>
      </c>
      <c r="E160" s="265">
        <v>192850</v>
      </c>
    </row>
    <row r="161" spans="2:5" x14ac:dyDescent="0.3">
      <c r="B161" s="263">
        <v>45682</v>
      </c>
      <c r="C161" s="264" t="s">
        <v>125</v>
      </c>
      <c r="D161" s="259" t="s">
        <v>243</v>
      </c>
      <c r="E161" s="265">
        <v>127118.64</v>
      </c>
    </row>
    <row r="162" spans="2:5" x14ac:dyDescent="0.3">
      <c r="B162" s="263">
        <v>45682</v>
      </c>
      <c r="C162" s="264" t="s">
        <v>125</v>
      </c>
      <c r="D162" s="259" t="s">
        <v>243</v>
      </c>
      <c r="E162" s="265">
        <v>175000</v>
      </c>
    </row>
    <row r="163" spans="2:5" x14ac:dyDescent="0.3">
      <c r="B163" s="263"/>
      <c r="C163" s="264"/>
      <c r="D163" s="259"/>
      <c r="E163" s="265"/>
    </row>
    <row r="164" spans="2:5" x14ac:dyDescent="0.3">
      <c r="B164" s="263"/>
      <c r="C164" s="270" t="s">
        <v>137</v>
      </c>
      <c r="D164" s="260"/>
      <c r="E164" s="271">
        <f>SUM(E157:E162)</f>
        <v>1276518.6399999999</v>
      </c>
    </row>
    <row r="165" spans="2:5" x14ac:dyDescent="0.3">
      <c r="B165" s="272"/>
      <c r="C165" s="278"/>
      <c r="D165" s="268"/>
      <c r="E165" s="279"/>
    </row>
    <row r="166" spans="2:5" x14ac:dyDescent="0.3">
      <c r="B166" s="272"/>
      <c r="C166" s="273"/>
      <c r="D166" s="254"/>
      <c r="E166" s="274"/>
    </row>
    <row r="167" spans="2:5" x14ac:dyDescent="0.3">
      <c r="B167" s="260"/>
      <c r="C167" s="260" t="s">
        <v>344</v>
      </c>
      <c r="D167" s="260"/>
      <c r="E167" s="261">
        <f>E164+E152+E146+E41+E14+E138</f>
        <v>22192114.75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A36B-7847-4F8F-B830-C3A25F960415}">
  <dimension ref="B1:E20"/>
  <sheetViews>
    <sheetView topLeftCell="A2" workbookViewId="0">
      <selection activeCell="B3" sqref="B3"/>
    </sheetView>
  </sheetViews>
  <sheetFormatPr defaultRowHeight="14.5" x14ac:dyDescent="0.35"/>
  <cols>
    <col min="2" max="2" width="8.453125" bestFit="1" customWidth="1"/>
    <col min="3" max="3" width="25.90625" bestFit="1" customWidth="1"/>
    <col min="4" max="4" width="25.90625" customWidth="1"/>
    <col min="5" max="5" width="13.81640625" bestFit="1" customWidth="1"/>
  </cols>
  <sheetData>
    <row r="1" spans="2:5" ht="15.5" x14ac:dyDescent="0.35">
      <c r="B1" s="283" t="s">
        <v>585</v>
      </c>
    </row>
    <row r="2" spans="2:5" ht="15.5" x14ac:dyDescent="0.35">
      <c r="B2" s="282"/>
    </row>
    <row r="3" spans="2:5" x14ac:dyDescent="0.35">
      <c r="B3" s="249" t="s">
        <v>3</v>
      </c>
      <c r="C3" s="249" t="s">
        <v>1</v>
      </c>
      <c r="D3" s="249" t="s">
        <v>4</v>
      </c>
      <c r="E3" s="249" t="s">
        <v>2</v>
      </c>
    </row>
    <row r="4" spans="2:5" x14ac:dyDescent="0.35">
      <c r="B4" s="226">
        <v>45579</v>
      </c>
      <c r="C4" s="280" t="s">
        <v>510</v>
      </c>
      <c r="D4" s="280" t="s">
        <v>591</v>
      </c>
      <c r="E4" s="281">
        <v>3212475</v>
      </c>
    </row>
    <row r="5" spans="2:5" x14ac:dyDescent="0.35">
      <c r="B5" s="226">
        <v>45585</v>
      </c>
      <c r="C5" s="280" t="s">
        <v>510</v>
      </c>
      <c r="D5" s="280" t="s">
        <v>591</v>
      </c>
      <c r="E5" s="281">
        <v>1525240</v>
      </c>
    </row>
    <row r="6" spans="2:5" x14ac:dyDescent="0.35">
      <c r="B6" s="226">
        <v>45631</v>
      </c>
      <c r="C6" s="280" t="s">
        <v>510</v>
      </c>
      <c r="D6" s="280" t="s">
        <v>591</v>
      </c>
      <c r="E6" s="281">
        <v>573250</v>
      </c>
    </row>
    <row r="7" spans="2:5" x14ac:dyDescent="0.35">
      <c r="B7" s="226">
        <v>45631</v>
      </c>
      <c r="C7" s="280" t="s">
        <v>510</v>
      </c>
      <c r="D7" s="280" t="s">
        <v>591</v>
      </c>
      <c r="E7" s="281">
        <v>2500000</v>
      </c>
    </row>
    <row r="8" spans="2:5" x14ac:dyDescent="0.35">
      <c r="B8" s="226">
        <v>45642</v>
      </c>
      <c r="C8" s="280" t="s">
        <v>510</v>
      </c>
      <c r="D8" s="280" t="s">
        <v>591</v>
      </c>
      <c r="E8" s="281">
        <v>289750</v>
      </c>
    </row>
    <row r="9" spans="2:5" x14ac:dyDescent="0.35">
      <c r="B9" s="226">
        <v>45660</v>
      </c>
      <c r="C9" s="280" t="s">
        <v>510</v>
      </c>
      <c r="D9" s="280" t="s">
        <v>591</v>
      </c>
      <c r="E9" s="281">
        <v>1334500</v>
      </c>
    </row>
    <row r="10" spans="2:5" x14ac:dyDescent="0.35">
      <c r="B10" s="226">
        <v>45668</v>
      </c>
      <c r="C10" s="280" t="s">
        <v>510</v>
      </c>
      <c r="D10" s="280" t="s">
        <v>591</v>
      </c>
      <c r="E10" s="281">
        <v>2376500</v>
      </c>
    </row>
    <row r="11" spans="2:5" x14ac:dyDescent="0.35">
      <c r="B11" s="226">
        <v>45717</v>
      </c>
      <c r="C11" s="280" t="s">
        <v>510</v>
      </c>
      <c r="D11" s="280" t="s">
        <v>591</v>
      </c>
      <c r="E11" s="281">
        <v>294700</v>
      </c>
    </row>
    <row r="12" spans="2:5" x14ac:dyDescent="0.35">
      <c r="B12" s="226">
        <v>45726</v>
      </c>
      <c r="C12" s="280" t="s">
        <v>510</v>
      </c>
      <c r="D12" s="280" t="s">
        <v>591</v>
      </c>
      <c r="E12" s="281">
        <v>40000</v>
      </c>
    </row>
    <row r="13" spans="2:5" x14ac:dyDescent="0.35">
      <c r="B13" s="226">
        <v>45732</v>
      </c>
      <c r="C13" s="280" t="s">
        <v>510</v>
      </c>
      <c r="D13" s="280" t="s">
        <v>591</v>
      </c>
      <c r="E13" s="281">
        <v>127400</v>
      </c>
    </row>
    <row r="14" spans="2:5" x14ac:dyDescent="0.35">
      <c r="B14" s="226">
        <v>45814</v>
      </c>
      <c r="C14" s="280" t="s">
        <v>510</v>
      </c>
      <c r="D14" s="280" t="s">
        <v>591</v>
      </c>
      <c r="E14" s="281">
        <v>219625</v>
      </c>
    </row>
    <row r="15" spans="2:5" x14ac:dyDescent="0.35">
      <c r="B15" s="226">
        <v>45845</v>
      </c>
      <c r="C15" s="280" t="s">
        <v>510</v>
      </c>
      <c r="D15" s="280" t="s">
        <v>591</v>
      </c>
      <c r="E15" s="281">
        <v>15000</v>
      </c>
    </row>
    <row r="16" spans="2:5" x14ac:dyDescent="0.35">
      <c r="B16" s="226">
        <v>45846</v>
      </c>
      <c r="C16" s="280" t="s">
        <v>510</v>
      </c>
      <c r="D16" s="280" t="s">
        <v>591</v>
      </c>
      <c r="E16" s="281">
        <v>170000</v>
      </c>
    </row>
    <row r="17" spans="2:5" x14ac:dyDescent="0.35">
      <c r="B17" s="226">
        <v>46114</v>
      </c>
      <c r="C17" s="280" t="s">
        <v>510</v>
      </c>
      <c r="D17" s="280" t="s">
        <v>591</v>
      </c>
      <c r="E17" s="281">
        <v>1606668</v>
      </c>
    </row>
    <row r="18" spans="2:5" x14ac:dyDescent="0.35">
      <c r="B18" s="226">
        <v>46118</v>
      </c>
      <c r="C18" s="280" t="s">
        <v>510</v>
      </c>
      <c r="D18" s="280" t="s">
        <v>591</v>
      </c>
      <c r="E18" s="281">
        <v>268615</v>
      </c>
    </row>
    <row r="19" spans="2:5" x14ac:dyDescent="0.35">
      <c r="B19" s="226"/>
      <c r="C19" s="280"/>
      <c r="D19" s="280"/>
      <c r="E19" s="281"/>
    </row>
    <row r="20" spans="2:5" x14ac:dyDescent="0.35">
      <c r="B20" s="2"/>
      <c r="C20" s="227" t="s">
        <v>137</v>
      </c>
      <c r="D20" s="227"/>
      <c r="E20" s="284">
        <f>SUM(E4:E18)</f>
        <v>14553723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C6A0-F26C-4DB4-866E-510010169A74}">
  <dimension ref="B1:F19"/>
  <sheetViews>
    <sheetView workbookViewId="0">
      <selection activeCell="C8" sqref="C8"/>
    </sheetView>
  </sheetViews>
  <sheetFormatPr defaultRowHeight="14" x14ac:dyDescent="0.3"/>
  <cols>
    <col min="1" max="1" width="8.7265625" style="8"/>
    <col min="2" max="2" width="28.26953125" style="8" bestFit="1" customWidth="1"/>
    <col min="3" max="3" width="13.81640625" style="8" bestFit="1" customWidth="1"/>
    <col min="4" max="4" width="8.1796875" style="8" bestFit="1" customWidth="1"/>
    <col min="5" max="5" width="12.6328125" style="8" bestFit="1" customWidth="1"/>
    <col min="6" max="16384" width="8.7265625" style="8"/>
  </cols>
  <sheetData>
    <row r="1" spans="2:6" x14ac:dyDescent="0.3">
      <c r="B1" s="209" t="s">
        <v>108</v>
      </c>
      <c r="C1" s="209"/>
      <c r="D1" s="191"/>
      <c r="E1" s="165"/>
      <c r="F1" s="192"/>
    </row>
    <row r="2" spans="2:6" x14ac:dyDescent="0.3">
      <c r="D2" s="191"/>
      <c r="E2" s="165"/>
    </row>
    <row r="3" spans="2:6" x14ac:dyDescent="0.3">
      <c r="B3" s="249" t="s">
        <v>459</v>
      </c>
      <c r="C3" s="249" t="s">
        <v>2</v>
      </c>
    </row>
    <row r="4" spans="2:6" x14ac:dyDescent="0.3">
      <c r="B4" s="11" t="s">
        <v>552</v>
      </c>
      <c r="C4" s="154">
        <f>SUM(C5:C10)</f>
        <v>6756337.71</v>
      </c>
    </row>
    <row r="5" spans="2:6" x14ac:dyDescent="0.3">
      <c r="B5" s="10" t="s">
        <v>457</v>
      </c>
      <c r="C5" s="61">
        <v>2389549.46</v>
      </c>
    </row>
    <row r="6" spans="2:6" x14ac:dyDescent="0.3">
      <c r="B6" s="10" t="s">
        <v>548</v>
      </c>
      <c r="C6" s="61">
        <v>137280</v>
      </c>
    </row>
    <row r="7" spans="2:6" x14ac:dyDescent="0.3">
      <c r="B7" s="10" t="s">
        <v>549</v>
      </c>
      <c r="C7" s="61">
        <v>262240</v>
      </c>
    </row>
    <row r="8" spans="2:6" x14ac:dyDescent="0.3">
      <c r="B8" s="10" t="s">
        <v>577</v>
      </c>
      <c r="C8" s="61">
        <v>-15674</v>
      </c>
    </row>
    <row r="9" spans="2:6" x14ac:dyDescent="0.3">
      <c r="B9" s="10" t="s">
        <v>458</v>
      </c>
      <c r="C9" s="61">
        <v>3978742.25</v>
      </c>
    </row>
    <row r="10" spans="2:6" x14ac:dyDescent="0.3">
      <c r="B10" s="10" t="s">
        <v>550</v>
      </c>
      <c r="C10" s="61">
        <v>4200</v>
      </c>
    </row>
    <row r="11" spans="2:6" x14ac:dyDescent="0.3">
      <c r="B11" s="10"/>
      <c r="C11" s="61"/>
    </row>
    <row r="12" spans="2:6" x14ac:dyDescent="0.3">
      <c r="B12" s="11" t="s">
        <v>553</v>
      </c>
      <c r="C12" s="154">
        <f>SUM(C13:C17)</f>
        <v>21406330.989999998</v>
      </c>
    </row>
    <row r="13" spans="2:6" x14ac:dyDescent="0.3">
      <c r="B13" s="10" t="s">
        <v>460</v>
      </c>
      <c r="C13" s="61">
        <v>196694.45</v>
      </c>
    </row>
    <row r="14" spans="2:6" x14ac:dyDescent="0.3">
      <c r="B14" s="10" t="s">
        <v>461</v>
      </c>
      <c r="C14" s="61">
        <v>21062782.699999999</v>
      </c>
    </row>
    <row r="15" spans="2:6" x14ac:dyDescent="0.3">
      <c r="B15" s="10" t="s">
        <v>145</v>
      </c>
      <c r="C15" s="61">
        <v>112455.77</v>
      </c>
    </row>
    <row r="16" spans="2:6" x14ac:dyDescent="0.3">
      <c r="B16" s="10" t="s">
        <v>340</v>
      </c>
      <c r="C16" s="61">
        <v>30400</v>
      </c>
    </row>
    <row r="17" spans="2:3" x14ac:dyDescent="0.3">
      <c r="B17" s="10" t="s">
        <v>186</v>
      </c>
      <c r="C17" s="61">
        <v>3998.07</v>
      </c>
    </row>
    <row r="18" spans="2:3" x14ac:dyDescent="0.3">
      <c r="C18" s="153"/>
    </row>
    <row r="19" spans="2:3" x14ac:dyDescent="0.3">
      <c r="B19" s="11" t="s">
        <v>344</v>
      </c>
      <c r="C19" s="154">
        <f>C12+C4</f>
        <v>28162668.699999999</v>
      </c>
    </row>
  </sheetData>
  <mergeCells count="1">
    <mergeCell ref="B1:C1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FF84C-D767-4C12-96D0-E136A6A553E8}">
  <dimension ref="B1:I180"/>
  <sheetViews>
    <sheetView workbookViewId="0">
      <selection activeCell="B1" sqref="B1:C1"/>
    </sheetView>
  </sheetViews>
  <sheetFormatPr defaultColWidth="9.1796875" defaultRowHeight="14" x14ac:dyDescent="0.3"/>
  <cols>
    <col min="1" max="1" width="9.1796875" style="8"/>
    <col min="2" max="2" width="46.08984375" style="8" bestFit="1" customWidth="1"/>
    <col min="3" max="3" width="12" style="8" bestFit="1" customWidth="1"/>
    <col min="4" max="4" width="11" style="8" bestFit="1" customWidth="1"/>
    <col min="5" max="6" width="9.1796875" style="8"/>
    <col min="7" max="7" width="54.08984375" style="8" bestFit="1" customWidth="1"/>
    <col min="8" max="9" width="12.1796875" style="8" bestFit="1" customWidth="1"/>
    <col min="10" max="16384" width="9.1796875" style="8"/>
  </cols>
  <sheetData>
    <row r="1" spans="2:9" ht="15" x14ac:dyDescent="0.3">
      <c r="B1" s="210" t="s">
        <v>296</v>
      </c>
      <c r="C1" s="210"/>
      <c r="G1" s="187" t="s">
        <v>465</v>
      </c>
      <c r="H1" s="211"/>
      <c r="I1" s="211"/>
    </row>
    <row r="2" spans="2:9" x14ac:dyDescent="0.3">
      <c r="B2" s="12"/>
      <c r="G2" s="188" t="s">
        <v>465</v>
      </c>
      <c r="H2" s="212"/>
      <c r="I2" s="213"/>
    </row>
    <row r="3" spans="2:9" x14ac:dyDescent="0.3">
      <c r="B3" s="223" t="s">
        <v>1</v>
      </c>
      <c r="C3" s="59" t="s">
        <v>138</v>
      </c>
    </row>
    <row r="4" spans="2:9" x14ac:dyDescent="0.3">
      <c r="B4" s="43" t="s">
        <v>467</v>
      </c>
      <c r="C4" s="32">
        <v>23962</v>
      </c>
    </row>
    <row r="5" spans="2:9" x14ac:dyDescent="0.3">
      <c r="B5" s="43" t="s">
        <v>468</v>
      </c>
      <c r="C5" s="32">
        <v>20278</v>
      </c>
    </row>
    <row r="6" spans="2:9" x14ac:dyDescent="0.3">
      <c r="B6" s="43" t="s">
        <v>479</v>
      </c>
      <c r="C6" s="32">
        <v>619234.93000000005</v>
      </c>
    </row>
    <row r="7" spans="2:9" x14ac:dyDescent="0.3">
      <c r="B7" s="43" t="s">
        <v>481</v>
      </c>
      <c r="C7" s="32">
        <v>612313.49</v>
      </c>
    </row>
    <row r="8" spans="2:9" x14ac:dyDescent="0.3">
      <c r="B8" s="43" t="s">
        <v>389</v>
      </c>
      <c r="C8" s="32">
        <v>120169</v>
      </c>
    </row>
    <row r="9" spans="2:9" x14ac:dyDescent="0.3">
      <c r="B9" s="43" t="s">
        <v>109</v>
      </c>
      <c r="C9" s="32">
        <v>1131500</v>
      </c>
    </row>
    <row r="10" spans="2:9" x14ac:dyDescent="0.3">
      <c r="B10" s="43" t="s">
        <v>27</v>
      </c>
      <c r="C10" s="32">
        <v>1924280</v>
      </c>
    </row>
    <row r="11" spans="2:9" x14ac:dyDescent="0.3">
      <c r="B11" s="43" t="s">
        <v>490</v>
      </c>
      <c r="C11" s="32">
        <v>5500</v>
      </c>
    </row>
    <row r="12" spans="2:9" x14ac:dyDescent="0.3">
      <c r="B12" s="43" t="s">
        <v>570</v>
      </c>
      <c r="C12" s="32">
        <v>26000</v>
      </c>
    </row>
    <row r="13" spans="2:9" x14ac:dyDescent="0.3">
      <c r="B13" s="43" t="s">
        <v>399</v>
      </c>
      <c r="C13" s="32">
        <v>58700</v>
      </c>
    </row>
    <row r="14" spans="2:9" x14ac:dyDescent="0.3">
      <c r="B14" s="43" t="s">
        <v>400</v>
      </c>
      <c r="C14" s="32">
        <v>9104</v>
      </c>
    </row>
    <row r="15" spans="2:9" x14ac:dyDescent="0.3">
      <c r="B15" s="43" t="s">
        <v>402</v>
      </c>
      <c r="C15" s="32">
        <v>549.01</v>
      </c>
    </row>
    <row r="16" spans="2:9" x14ac:dyDescent="0.3">
      <c r="B16" s="43" t="s">
        <v>403</v>
      </c>
      <c r="C16" s="32">
        <v>1787500</v>
      </c>
    </row>
    <row r="17" spans="2:3" x14ac:dyDescent="0.3">
      <c r="B17" s="43" t="s">
        <v>493</v>
      </c>
      <c r="C17" s="32">
        <v>988826</v>
      </c>
    </row>
    <row r="18" spans="2:3" x14ac:dyDescent="0.3">
      <c r="B18" s="43" t="s">
        <v>571</v>
      </c>
      <c r="C18" s="32">
        <v>17700</v>
      </c>
    </row>
    <row r="19" spans="2:3" x14ac:dyDescent="0.3">
      <c r="B19" s="43" t="s">
        <v>495</v>
      </c>
      <c r="C19" s="32">
        <v>23779.8</v>
      </c>
    </row>
    <row r="20" spans="2:3" x14ac:dyDescent="0.3">
      <c r="B20" s="43" t="s">
        <v>498</v>
      </c>
      <c r="C20" s="32">
        <v>40000</v>
      </c>
    </row>
    <row r="21" spans="2:3" x14ac:dyDescent="0.3">
      <c r="B21" s="43" t="s">
        <v>499</v>
      </c>
      <c r="C21" s="32">
        <v>14670</v>
      </c>
    </row>
    <row r="22" spans="2:3" x14ac:dyDescent="0.3">
      <c r="B22" s="43" t="s">
        <v>572</v>
      </c>
      <c r="C22" s="32">
        <v>55900</v>
      </c>
    </row>
    <row r="23" spans="2:3" x14ac:dyDescent="0.3">
      <c r="B23" s="43" t="s">
        <v>408</v>
      </c>
      <c r="C23" s="32">
        <v>850000</v>
      </c>
    </row>
    <row r="24" spans="2:3" x14ac:dyDescent="0.3">
      <c r="B24" s="43" t="s">
        <v>502</v>
      </c>
      <c r="C24" s="32">
        <v>1770719.01</v>
      </c>
    </row>
    <row r="25" spans="2:3" x14ac:dyDescent="0.3">
      <c r="B25" s="43" t="s">
        <v>411</v>
      </c>
      <c r="C25" s="32">
        <v>899.16</v>
      </c>
    </row>
    <row r="26" spans="2:3" x14ac:dyDescent="0.3">
      <c r="B26" s="43" t="s">
        <v>503</v>
      </c>
      <c r="C26" s="32">
        <v>6250.28</v>
      </c>
    </row>
    <row r="27" spans="2:3" x14ac:dyDescent="0.3">
      <c r="B27" s="43" t="s">
        <v>573</v>
      </c>
      <c r="C27" s="32">
        <v>79935.240000000005</v>
      </c>
    </row>
    <row r="28" spans="2:3" x14ac:dyDescent="0.3">
      <c r="B28" s="43" t="s">
        <v>504</v>
      </c>
      <c r="C28" s="32">
        <v>115574</v>
      </c>
    </row>
    <row r="29" spans="2:3" x14ac:dyDescent="0.3">
      <c r="B29" s="43" t="s">
        <v>505</v>
      </c>
      <c r="C29" s="32">
        <v>28320</v>
      </c>
    </row>
    <row r="30" spans="2:3" x14ac:dyDescent="0.3">
      <c r="B30" s="43" t="s">
        <v>412</v>
      </c>
      <c r="C30" s="32">
        <v>14000</v>
      </c>
    </row>
    <row r="31" spans="2:3" x14ac:dyDescent="0.3">
      <c r="B31" s="43" t="s">
        <v>507</v>
      </c>
      <c r="C31" s="32">
        <v>1953</v>
      </c>
    </row>
    <row r="32" spans="2:3" x14ac:dyDescent="0.3">
      <c r="B32" s="43" t="s">
        <v>24</v>
      </c>
      <c r="C32" s="32">
        <v>1461238.6</v>
      </c>
    </row>
    <row r="33" spans="2:3" x14ac:dyDescent="0.3">
      <c r="B33" s="43" t="s">
        <v>31</v>
      </c>
      <c r="C33" s="32">
        <v>2200000</v>
      </c>
    </row>
    <row r="34" spans="2:3" x14ac:dyDescent="0.3">
      <c r="B34" s="43" t="s">
        <v>414</v>
      </c>
      <c r="C34" s="32">
        <v>225594.75</v>
      </c>
    </row>
    <row r="35" spans="2:3" x14ac:dyDescent="0.3">
      <c r="B35" s="43" t="s">
        <v>387</v>
      </c>
      <c r="C35" s="32">
        <v>448608.18</v>
      </c>
    </row>
    <row r="36" spans="2:3" x14ac:dyDescent="0.3">
      <c r="B36" s="43" t="s">
        <v>574</v>
      </c>
      <c r="C36" s="32">
        <v>19187</v>
      </c>
    </row>
    <row r="37" spans="2:3" x14ac:dyDescent="0.3">
      <c r="B37" s="43" t="s">
        <v>419</v>
      </c>
      <c r="C37" s="32">
        <v>471170</v>
      </c>
    </row>
    <row r="38" spans="2:3" x14ac:dyDescent="0.3">
      <c r="B38" s="43" t="s">
        <v>510</v>
      </c>
      <c r="C38" s="32">
        <v>171060.56</v>
      </c>
    </row>
    <row r="39" spans="2:3" x14ac:dyDescent="0.3">
      <c r="B39" s="43" t="s">
        <v>420</v>
      </c>
      <c r="C39" s="32">
        <v>1900000</v>
      </c>
    </row>
    <row r="40" spans="2:3" x14ac:dyDescent="0.3">
      <c r="B40" s="43" t="s">
        <v>421</v>
      </c>
      <c r="C40" s="32">
        <v>105000</v>
      </c>
    </row>
    <row r="41" spans="2:3" x14ac:dyDescent="0.3">
      <c r="B41" s="43" t="s">
        <v>511</v>
      </c>
      <c r="C41" s="32">
        <v>23600</v>
      </c>
    </row>
    <row r="42" spans="2:3" x14ac:dyDescent="0.3">
      <c r="B42" s="43" t="s">
        <v>512</v>
      </c>
      <c r="C42" s="32">
        <v>34102</v>
      </c>
    </row>
    <row r="43" spans="2:3" x14ac:dyDescent="0.3">
      <c r="B43" s="43" t="s">
        <v>513</v>
      </c>
      <c r="C43" s="32">
        <v>447627</v>
      </c>
    </row>
    <row r="44" spans="2:3" x14ac:dyDescent="0.3">
      <c r="B44" s="43" t="s">
        <v>424</v>
      </c>
      <c r="C44" s="32">
        <v>0.49</v>
      </c>
    </row>
    <row r="45" spans="2:3" x14ac:dyDescent="0.3">
      <c r="B45" s="43" t="s">
        <v>514</v>
      </c>
      <c r="C45" s="32">
        <v>468</v>
      </c>
    </row>
    <row r="46" spans="2:3" x14ac:dyDescent="0.3">
      <c r="B46" s="43" t="s">
        <v>292</v>
      </c>
      <c r="C46" s="32">
        <v>128120</v>
      </c>
    </row>
    <row r="47" spans="2:3" x14ac:dyDescent="0.3">
      <c r="B47" s="43" t="s">
        <v>575</v>
      </c>
      <c r="C47" s="32">
        <v>17324</v>
      </c>
    </row>
    <row r="48" spans="2:3" x14ac:dyDescent="0.3">
      <c r="B48" s="43" t="s">
        <v>425</v>
      </c>
      <c r="C48" s="32">
        <v>47651</v>
      </c>
    </row>
    <row r="49" spans="2:4" x14ac:dyDescent="0.3">
      <c r="B49" s="43" t="s">
        <v>516</v>
      </c>
      <c r="C49" s="32">
        <v>482200</v>
      </c>
    </row>
    <row r="50" spans="2:4" x14ac:dyDescent="0.3">
      <c r="B50" s="43" t="s">
        <v>576</v>
      </c>
      <c r="C50" s="32">
        <v>51000</v>
      </c>
    </row>
    <row r="51" spans="2:4" x14ac:dyDescent="0.3">
      <c r="B51" s="43" t="s">
        <v>517</v>
      </c>
      <c r="C51" s="32">
        <v>57000</v>
      </c>
    </row>
    <row r="52" spans="2:4" x14ac:dyDescent="0.3">
      <c r="B52" s="43" t="s">
        <v>518</v>
      </c>
      <c r="C52" s="32">
        <v>45938</v>
      </c>
    </row>
    <row r="53" spans="2:4" x14ac:dyDescent="0.3">
      <c r="B53" s="43" t="s">
        <v>519</v>
      </c>
      <c r="C53" s="32">
        <v>11060.14</v>
      </c>
    </row>
    <row r="54" spans="2:4" x14ac:dyDescent="0.3">
      <c r="B54" s="43" t="s">
        <v>520</v>
      </c>
      <c r="C54" s="32">
        <v>88004</v>
      </c>
    </row>
    <row r="55" spans="2:4" x14ac:dyDescent="0.3">
      <c r="B55" s="43" t="s">
        <v>521</v>
      </c>
      <c r="C55" s="32">
        <v>731.37</v>
      </c>
    </row>
    <row r="56" spans="2:4" x14ac:dyDescent="0.3">
      <c r="B56" s="43"/>
      <c r="C56" s="32"/>
    </row>
    <row r="57" spans="2:4" x14ac:dyDescent="0.3">
      <c r="B57" s="60" t="s">
        <v>95</v>
      </c>
      <c r="C57" s="156">
        <f>SUM(C4:C55)</f>
        <v>18784302.009999998</v>
      </c>
    </row>
    <row r="63" spans="2:4" hidden="1" x14ac:dyDescent="0.3">
      <c r="B63" s="218" t="s">
        <v>465</v>
      </c>
      <c r="C63" s="198" t="s">
        <v>41</v>
      </c>
      <c r="D63" s="198" t="s">
        <v>42</v>
      </c>
    </row>
    <row r="64" spans="2:4" hidden="1" x14ac:dyDescent="0.3">
      <c r="B64" s="193" t="s">
        <v>466</v>
      </c>
      <c r="C64" s="194">
        <v>44240</v>
      </c>
      <c r="D64" s="194">
        <v>287711.67</v>
      </c>
    </row>
    <row r="65" spans="2:4" hidden="1" x14ac:dyDescent="0.3">
      <c r="B65" s="195" t="s">
        <v>467</v>
      </c>
      <c r="C65" s="196">
        <v>23962</v>
      </c>
      <c r="D65" s="199"/>
    </row>
    <row r="66" spans="2:4" hidden="1" x14ac:dyDescent="0.3">
      <c r="B66" s="195" t="s">
        <v>468</v>
      </c>
      <c r="C66" s="196">
        <v>20278</v>
      </c>
      <c r="D66" s="199"/>
    </row>
    <row r="67" spans="2:4" hidden="1" x14ac:dyDescent="0.3">
      <c r="B67" s="195" t="s">
        <v>469</v>
      </c>
      <c r="C67" s="199"/>
      <c r="D67" s="196">
        <v>21958</v>
      </c>
    </row>
    <row r="68" spans="2:4" hidden="1" x14ac:dyDescent="0.3">
      <c r="B68" s="195" t="s">
        <v>470</v>
      </c>
      <c r="C68" s="199"/>
      <c r="D68" s="196">
        <v>18785.3</v>
      </c>
    </row>
    <row r="69" spans="2:4" hidden="1" x14ac:dyDescent="0.3">
      <c r="B69" s="195" t="s">
        <v>471</v>
      </c>
      <c r="C69" s="199"/>
      <c r="D69" s="196">
        <v>108911</v>
      </c>
    </row>
    <row r="70" spans="2:4" hidden="1" x14ac:dyDescent="0.3">
      <c r="B70" s="195" t="s">
        <v>472</v>
      </c>
      <c r="C70" s="199"/>
      <c r="D70" s="196">
        <v>7331.1</v>
      </c>
    </row>
    <row r="71" spans="2:4" hidden="1" x14ac:dyDescent="0.3">
      <c r="B71" s="195" t="s">
        <v>409</v>
      </c>
      <c r="C71" s="199"/>
      <c r="D71" s="196">
        <v>95734.25</v>
      </c>
    </row>
    <row r="72" spans="2:4" hidden="1" x14ac:dyDescent="0.3">
      <c r="B72" s="195" t="s">
        <v>473</v>
      </c>
      <c r="C72" s="199"/>
      <c r="D72" s="196">
        <v>4562.0200000000004</v>
      </c>
    </row>
    <row r="73" spans="2:4" hidden="1" x14ac:dyDescent="0.3">
      <c r="B73" s="195" t="s">
        <v>474</v>
      </c>
      <c r="C73" s="199"/>
      <c r="D73" s="196">
        <v>14638</v>
      </c>
    </row>
    <row r="74" spans="2:4" hidden="1" x14ac:dyDescent="0.3">
      <c r="B74" s="195" t="s">
        <v>475</v>
      </c>
      <c r="C74" s="199"/>
      <c r="D74" s="196">
        <v>15792</v>
      </c>
    </row>
    <row r="75" spans="2:4" hidden="1" x14ac:dyDescent="0.3">
      <c r="B75" s="193" t="s">
        <v>476</v>
      </c>
      <c r="C75" s="202"/>
      <c r="D75" s="202"/>
    </row>
    <row r="76" spans="2:4" hidden="1" x14ac:dyDescent="0.3">
      <c r="B76" s="193" t="s">
        <v>477</v>
      </c>
      <c r="C76" s="197">
        <v>619234.93000000005</v>
      </c>
      <c r="D76" s="197">
        <v>3165021.92</v>
      </c>
    </row>
    <row r="77" spans="2:4" hidden="1" x14ac:dyDescent="0.3">
      <c r="B77" s="195" t="s">
        <v>388</v>
      </c>
      <c r="C77" s="199"/>
      <c r="D77" s="196">
        <v>2502531.52</v>
      </c>
    </row>
    <row r="78" spans="2:4" ht="24" hidden="1" x14ac:dyDescent="0.3">
      <c r="B78" s="219" t="s">
        <v>353</v>
      </c>
      <c r="C78" s="199"/>
      <c r="D78" s="196">
        <v>2975.91</v>
      </c>
    </row>
    <row r="79" spans="2:4" hidden="1" x14ac:dyDescent="0.3">
      <c r="B79" s="195" t="s">
        <v>478</v>
      </c>
      <c r="C79" s="199"/>
      <c r="D79" s="196">
        <v>346098.14</v>
      </c>
    </row>
    <row r="80" spans="2:4" hidden="1" x14ac:dyDescent="0.3">
      <c r="B80" s="195" t="s">
        <v>131</v>
      </c>
      <c r="C80" s="199"/>
      <c r="D80" s="196">
        <v>313416.34999999998</v>
      </c>
    </row>
    <row r="81" spans="2:4" hidden="1" x14ac:dyDescent="0.3">
      <c r="B81" s="195" t="s">
        <v>479</v>
      </c>
      <c r="C81" s="196">
        <v>619234.93000000005</v>
      </c>
      <c r="D81" s="199"/>
    </row>
    <row r="82" spans="2:4" hidden="1" x14ac:dyDescent="0.3">
      <c r="B82" s="193" t="s">
        <v>480</v>
      </c>
      <c r="C82" s="197">
        <v>732482.49</v>
      </c>
      <c r="D82" s="200"/>
    </row>
    <row r="83" spans="2:4" hidden="1" x14ac:dyDescent="0.3">
      <c r="B83" s="195" t="s">
        <v>481</v>
      </c>
      <c r="C83" s="196">
        <v>612313.49</v>
      </c>
      <c r="D83" s="199"/>
    </row>
    <row r="84" spans="2:4" hidden="1" x14ac:dyDescent="0.3">
      <c r="B84" s="195" t="s">
        <v>389</v>
      </c>
      <c r="C84" s="196">
        <v>120169</v>
      </c>
      <c r="D84" s="199"/>
    </row>
    <row r="85" spans="2:4" hidden="1" x14ac:dyDescent="0.3">
      <c r="B85" s="193" t="s">
        <v>482</v>
      </c>
      <c r="C85" s="200"/>
      <c r="D85" s="197">
        <v>20798.68</v>
      </c>
    </row>
    <row r="86" spans="2:4" hidden="1" x14ac:dyDescent="0.3">
      <c r="B86" s="195" t="s">
        <v>390</v>
      </c>
      <c r="C86" s="199"/>
      <c r="D86" s="196">
        <v>20798.68</v>
      </c>
    </row>
    <row r="87" spans="2:4" hidden="1" x14ac:dyDescent="0.3">
      <c r="B87" s="193" t="s">
        <v>483</v>
      </c>
      <c r="C87" s="197">
        <v>1131500</v>
      </c>
      <c r="D87" s="197">
        <v>3528240.48</v>
      </c>
    </row>
    <row r="88" spans="2:4" hidden="1" x14ac:dyDescent="0.3">
      <c r="B88" s="195" t="s">
        <v>484</v>
      </c>
      <c r="C88" s="199"/>
      <c r="D88" s="196">
        <v>2925212.96</v>
      </c>
    </row>
    <row r="89" spans="2:4" hidden="1" x14ac:dyDescent="0.3">
      <c r="B89" s="195" t="s">
        <v>109</v>
      </c>
      <c r="C89" s="196">
        <v>1131500</v>
      </c>
      <c r="D89" s="199"/>
    </row>
    <row r="90" spans="2:4" hidden="1" x14ac:dyDescent="0.3">
      <c r="B90" s="220" t="s">
        <v>293</v>
      </c>
      <c r="C90" s="199"/>
      <c r="D90" s="196">
        <v>13000</v>
      </c>
    </row>
    <row r="91" spans="2:4" hidden="1" x14ac:dyDescent="0.3">
      <c r="B91" s="195" t="s">
        <v>392</v>
      </c>
      <c r="C91" s="199"/>
      <c r="D91" s="196">
        <v>122602.37</v>
      </c>
    </row>
    <row r="92" spans="2:4" hidden="1" x14ac:dyDescent="0.3">
      <c r="B92" s="195" t="s">
        <v>119</v>
      </c>
      <c r="C92" s="199"/>
      <c r="D92" s="196">
        <v>10030</v>
      </c>
    </row>
    <row r="93" spans="2:4" hidden="1" x14ac:dyDescent="0.3">
      <c r="B93" s="195" t="s">
        <v>394</v>
      </c>
      <c r="C93" s="199"/>
      <c r="D93" s="196">
        <v>211974</v>
      </c>
    </row>
    <row r="94" spans="2:4" hidden="1" x14ac:dyDescent="0.3">
      <c r="B94" s="195" t="s">
        <v>485</v>
      </c>
      <c r="C94" s="199"/>
      <c r="D94" s="196">
        <v>244123.15</v>
      </c>
    </row>
    <row r="95" spans="2:4" hidden="1" x14ac:dyDescent="0.3">
      <c r="B95" s="195" t="s">
        <v>486</v>
      </c>
      <c r="C95" s="199"/>
      <c r="D95" s="196">
        <v>1298</v>
      </c>
    </row>
    <row r="96" spans="2:4" hidden="1" x14ac:dyDescent="0.3">
      <c r="B96" s="193" t="s">
        <v>487</v>
      </c>
      <c r="C96" s="202"/>
      <c r="D96" s="202"/>
    </row>
    <row r="97" spans="2:4" hidden="1" x14ac:dyDescent="0.3">
      <c r="B97" s="191" t="s">
        <v>488</v>
      </c>
      <c r="C97" s="192"/>
      <c r="D97" s="165">
        <v>148106</v>
      </c>
    </row>
    <row r="98" spans="2:4" hidden="1" x14ac:dyDescent="0.3">
      <c r="B98" s="191" t="s">
        <v>395</v>
      </c>
      <c r="C98" s="192"/>
      <c r="D98" s="165">
        <v>280.25</v>
      </c>
    </row>
    <row r="99" spans="2:4" hidden="1" x14ac:dyDescent="0.3">
      <c r="B99" s="191" t="s">
        <v>489</v>
      </c>
      <c r="C99" s="192"/>
      <c r="D99" s="165">
        <v>44100</v>
      </c>
    </row>
    <row r="100" spans="2:4" hidden="1" x14ac:dyDescent="0.3">
      <c r="B100" s="191" t="s">
        <v>27</v>
      </c>
      <c r="C100" s="165">
        <v>1924280</v>
      </c>
      <c r="D100" s="192"/>
    </row>
    <row r="101" spans="2:4" hidden="1" x14ac:dyDescent="0.3">
      <c r="B101" s="191" t="s">
        <v>396</v>
      </c>
      <c r="C101" s="192"/>
      <c r="D101" s="165">
        <v>91996</v>
      </c>
    </row>
    <row r="102" spans="2:4" hidden="1" x14ac:dyDescent="0.3">
      <c r="B102" s="191" t="s">
        <v>490</v>
      </c>
      <c r="C102" s="165">
        <v>5500</v>
      </c>
      <c r="D102" s="192"/>
    </row>
    <row r="103" spans="2:4" hidden="1" x14ac:dyDescent="0.3">
      <c r="B103" s="191" t="s">
        <v>397</v>
      </c>
      <c r="C103" s="192"/>
      <c r="D103" s="165">
        <v>2076.8000000000002</v>
      </c>
    </row>
    <row r="104" spans="2:4" hidden="1" x14ac:dyDescent="0.3">
      <c r="B104" s="191" t="s">
        <v>398</v>
      </c>
      <c r="C104" s="192"/>
      <c r="D104" s="165">
        <v>12415</v>
      </c>
    </row>
    <row r="105" spans="2:4" hidden="1" x14ac:dyDescent="0.3">
      <c r="B105" s="191" t="s">
        <v>570</v>
      </c>
      <c r="C105" s="165">
        <v>26000</v>
      </c>
      <c r="D105" s="192"/>
    </row>
    <row r="106" spans="2:4" hidden="1" x14ac:dyDescent="0.3">
      <c r="B106" s="191" t="s">
        <v>399</v>
      </c>
      <c r="C106" s="165">
        <v>58700</v>
      </c>
      <c r="D106" s="192"/>
    </row>
    <row r="107" spans="2:4" hidden="1" x14ac:dyDescent="0.3">
      <c r="B107" s="191" t="s">
        <v>400</v>
      </c>
      <c r="C107" s="165">
        <v>9104</v>
      </c>
      <c r="D107" s="192"/>
    </row>
    <row r="108" spans="2:4" hidden="1" x14ac:dyDescent="0.3">
      <c r="B108" s="191" t="s">
        <v>401</v>
      </c>
      <c r="C108" s="192"/>
      <c r="D108" s="165">
        <v>94040.67</v>
      </c>
    </row>
    <row r="109" spans="2:4" hidden="1" x14ac:dyDescent="0.3">
      <c r="B109" s="191" t="s">
        <v>402</v>
      </c>
      <c r="C109" s="165">
        <v>549.01</v>
      </c>
      <c r="D109" s="192"/>
    </row>
    <row r="110" spans="2:4" hidden="1" x14ac:dyDescent="0.3">
      <c r="B110" s="191" t="s">
        <v>491</v>
      </c>
      <c r="C110" s="192"/>
      <c r="D110" s="165">
        <v>473525</v>
      </c>
    </row>
    <row r="111" spans="2:4" hidden="1" x14ac:dyDescent="0.3">
      <c r="B111" s="191" t="s">
        <v>492</v>
      </c>
      <c r="C111" s="192"/>
      <c r="D111" s="165">
        <v>2967</v>
      </c>
    </row>
    <row r="112" spans="2:4" hidden="1" x14ac:dyDescent="0.3">
      <c r="B112" s="191" t="s">
        <v>403</v>
      </c>
      <c r="C112" s="165">
        <v>1787500</v>
      </c>
      <c r="D112" s="192"/>
    </row>
    <row r="113" spans="2:4" hidden="1" x14ac:dyDescent="0.3">
      <c r="B113" s="191" t="s">
        <v>404</v>
      </c>
      <c r="C113" s="192"/>
      <c r="D113" s="165">
        <v>188454</v>
      </c>
    </row>
    <row r="114" spans="2:4" hidden="1" x14ac:dyDescent="0.3">
      <c r="B114" s="191" t="s">
        <v>493</v>
      </c>
      <c r="C114" s="165">
        <v>988826</v>
      </c>
      <c r="D114" s="192"/>
    </row>
    <row r="115" spans="2:4" hidden="1" x14ac:dyDescent="0.3">
      <c r="B115" s="191" t="s">
        <v>571</v>
      </c>
      <c r="C115" s="165">
        <v>17700</v>
      </c>
      <c r="D115" s="192"/>
    </row>
    <row r="116" spans="2:4" hidden="1" x14ac:dyDescent="0.3">
      <c r="B116" s="191" t="s">
        <v>405</v>
      </c>
      <c r="C116" s="192"/>
      <c r="D116" s="165">
        <v>31860.48</v>
      </c>
    </row>
    <row r="117" spans="2:4" hidden="1" x14ac:dyDescent="0.3">
      <c r="B117" s="191" t="s">
        <v>494</v>
      </c>
      <c r="C117" s="192"/>
      <c r="D117" s="165">
        <v>2983091.09</v>
      </c>
    </row>
    <row r="118" spans="2:4" hidden="1" x14ac:dyDescent="0.3">
      <c r="B118" s="191" t="s">
        <v>495</v>
      </c>
      <c r="C118" s="165">
        <v>23779.8</v>
      </c>
      <c r="D118" s="192"/>
    </row>
    <row r="119" spans="2:4" hidden="1" x14ac:dyDescent="0.3">
      <c r="B119" s="191" t="s">
        <v>496</v>
      </c>
      <c r="C119" s="192"/>
      <c r="D119" s="165">
        <v>172040.51</v>
      </c>
    </row>
    <row r="120" spans="2:4" hidden="1" x14ac:dyDescent="0.3">
      <c r="B120" s="191" t="s">
        <v>406</v>
      </c>
      <c r="C120" s="192"/>
      <c r="D120" s="165">
        <v>376200</v>
      </c>
    </row>
    <row r="121" spans="2:4" hidden="1" x14ac:dyDescent="0.3">
      <c r="B121" s="191" t="s">
        <v>407</v>
      </c>
      <c r="C121" s="192"/>
      <c r="D121" s="165">
        <v>62761.78</v>
      </c>
    </row>
    <row r="122" spans="2:4" hidden="1" x14ac:dyDescent="0.3">
      <c r="B122" s="191" t="s">
        <v>497</v>
      </c>
      <c r="C122" s="192"/>
      <c r="D122" s="165">
        <v>9528.75</v>
      </c>
    </row>
    <row r="123" spans="2:4" hidden="1" x14ac:dyDescent="0.3">
      <c r="B123" s="191" t="s">
        <v>498</v>
      </c>
      <c r="C123" s="165">
        <v>40000</v>
      </c>
      <c r="D123" s="192"/>
    </row>
    <row r="124" spans="2:4" hidden="1" x14ac:dyDescent="0.3">
      <c r="B124" s="191" t="s">
        <v>499</v>
      </c>
      <c r="C124" s="165">
        <v>14670</v>
      </c>
      <c r="D124" s="192"/>
    </row>
    <row r="125" spans="2:4" hidden="1" x14ac:dyDescent="0.3">
      <c r="B125" s="191" t="s">
        <v>572</v>
      </c>
      <c r="C125" s="165">
        <v>55900</v>
      </c>
      <c r="D125" s="192"/>
    </row>
    <row r="126" spans="2:4" hidden="1" x14ac:dyDescent="0.3">
      <c r="B126" s="191" t="s">
        <v>500</v>
      </c>
      <c r="C126" s="192"/>
      <c r="D126" s="165">
        <v>144144</v>
      </c>
    </row>
    <row r="127" spans="2:4" hidden="1" x14ac:dyDescent="0.3">
      <c r="B127" s="191" t="s">
        <v>408</v>
      </c>
      <c r="C127" s="165">
        <v>850000</v>
      </c>
      <c r="D127" s="192"/>
    </row>
    <row r="128" spans="2:4" hidden="1" x14ac:dyDescent="0.3">
      <c r="B128" s="191" t="s">
        <v>350</v>
      </c>
      <c r="C128" s="192"/>
      <c r="D128" s="165">
        <v>2560.6</v>
      </c>
    </row>
    <row r="129" spans="2:4" hidden="1" x14ac:dyDescent="0.3">
      <c r="B129" s="191" t="s">
        <v>501</v>
      </c>
      <c r="C129" s="192"/>
      <c r="D129" s="165">
        <v>79231.42</v>
      </c>
    </row>
    <row r="130" spans="2:4" hidden="1" x14ac:dyDescent="0.3">
      <c r="B130" s="191" t="s">
        <v>502</v>
      </c>
      <c r="C130" s="165">
        <v>1770719.01</v>
      </c>
      <c r="D130" s="192"/>
    </row>
    <row r="131" spans="2:4" hidden="1" x14ac:dyDescent="0.3">
      <c r="B131" s="191" t="s">
        <v>411</v>
      </c>
      <c r="C131" s="165">
        <v>899.16</v>
      </c>
      <c r="D131" s="192"/>
    </row>
    <row r="132" spans="2:4" hidden="1" x14ac:dyDescent="0.3">
      <c r="B132" s="191" t="s">
        <v>503</v>
      </c>
      <c r="C132" s="165">
        <v>6250.28</v>
      </c>
      <c r="D132" s="192"/>
    </row>
    <row r="133" spans="2:4" hidden="1" x14ac:dyDescent="0.3">
      <c r="B133" s="191" t="s">
        <v>573</v>
      </c>
      <c r="C133" s="165">
        <v>79935.240000000005</v>
      </c>
      <c r="D133" s="192"/>
    </row>
    <row r="134" spans="2:4" hidden="1" x14ac:dyDescent="0.3">
      <c r="B134" s="191" t="s">
        <v>504</v>
      </c>
      <c r="C134" s="165">
        <v>115574</v>
      </c>
      <c r="D134" s="192"/>
    </row>
    <row r="135" spans="2:4" hidden="1" x14ac:dyDescent="0.3">
      <c r="B135" s="191" t="s">
        <v>505</v>
      </c>
      <c r="C135" s="165">
        <v>28320</v>
      </c>
      <c r="D135" s="192"/>
    </row>
    <row r="136" spans="2:4" hidden="1" x14ac:dyDescent="0.3">
      <c r="B136" s="191" t="s">
        <v>412</v>
      </c>
      <c r="C136" s="165">
        <v>14000</v>
      </c>
      <c r="D136" s="192"/>
    </row>
    <row r="137" spans="2:4" hidden="1" x14ac:dyDescent="0.3">
      <c r="B137" s="191" t="s">
        <v>413</v>
      </c>
      <c r="C137" s="192"/>
      <c r="D137" s="165">
        <v>23628</v>
      </c>
    </row>
    <row r="138" spans="2:4" hidden="1" x14ac:dyDescent="0.3">
      <c r="B138" s="191" t="s">
        <v>506</v>
      </c>
      <c r="C138" s="192"/>
      <c r="D138" s="165">
        <v>111483.8</v>
      </c>
    </row>
    <row r="139" spans="2:4" hidden="1" x14ac:dyDescent="0.3">
      <c r="B139" s="191" t="s">
        <v>507</v>
      </c>
      <c r="C139" s="165">
        <v>1953</v>
      </c>
      <c r="D139" s="192"/>
    </row>
    <row r="140" spans="2:4" hidden="1" x14ac:dyDescent="0.3">
      <c r="B140" s="191" t="s">
        <v>24</v>
      </c>
      <c r="C140" s="165">
        <v>1461238.6</v>
      </c>
      <c r="D140" s="192"/>
    </row>
    <row r="141" spans="2:4" hidden="1" x14ac:dyDescent="0.3">
      <c r="B141" s="191" t="s">
        <v>31</v>
      </c>
      <c r="C141" s="165">
        <v>2200000</v>
      </c>
      <c r="D141" s="192"/>
    </row>
    <row r="142" spans="2:4" hidden="1" x14ac:dyDescent="0.3">
      <c r="B142" s="191" t="s">
        <v>414</v>
      </c>
      <c r="C142" s="165">
        <v>225594.75</v>
      </c>
      <c r="D142" s="192"/>
    </row>
    <row r="143" spans="2:4" hidden="1" x14ac:dyDescent="0.3">
      <c r="B143" s="191" t="s">
        <v>387</v>
      </c>
      <c r="C143" s="165">
        <v>448608.18</v>
      </c>
      <c r="D143" s="192"/>
    </row>
    <row r="144" spans="2:4" hidden="1" x14ac:dyDescent="0.3">
      <c r="B144" s="191" t="s">
        <v>415</v>
      </c>
      <c r="C144" s="192"/>
      <c r="D144" s="165">
        <v>3264182.63</v>
      </c>
    </row>
    <row r="145" spans="2:4" hidden="1" x14ac:dyDescent="0.3">
      <c r="B145" s="191" t="s">
        <v>508</v>
      </c>
      <c r="C145" s="192"/>
      <c r="D145" s="165">
        <v>156500</v>
      </c>
    </row>
    <row r="146" spans="2:4" hidden="1" x14ac:dyDescent="0.3">
      <c r="B146" s="191" t="s">
        <v>416</v>
      </c>
      <c r="C146" s="192"/>
      <c r="D146" s="165">
        <v>2221.2800000000002</v>
      </c>
    </row>
    <row r="147" spans="2:4" hidden="1" x14ac:dyDescent="0.3">
      <c r="B147" s="191" t="s">
        <v>417</v>
      </c>
      <c r="C147" s="192"/>
      <c r="D147" s="165">
        <v>5792</v>
      </c>
    </row>
    <row r="148" spans="2:4" hidden="1" x14ac:dyDescent="0.3">
      <c r="B148" s="191" t="s">
        <v>418</v>
      </c>
      <c r="C148" s="192"/>
      <c r="D148" s="165">
        <v>5900</v>
      </c>
    </row>
    <row r="149" spans="2:4" hidden="1" x14ac:dyDescent="0.3">
      <c r="B149" s="191" t="s">
        <v>574</v>
      </c>
      <c r="C149" s="165">
        <v>19187</v>
      </c>
      <c r="D149" s="192"/>
    </row>
    <row r="150" spans="2:4" hidden="1" x14ac:dyDescent="0.3">
      <c r="B150" s="191" t="s">
        <v>419</v>
      </c>
      <c r="C150" s="165">
        <v>471170</v>
      </c>
      <c r="D150" s="192"/>
    </row>
    <row r="151" spans="2:4" hidden="1" x14ac:dyDescent="0.3">
      <c r="B151" s="191" t="s">
        <v>509</v>
      </c>
      <c r="C151" s="192"/>
      <c r="D151" s="165">
        <v>1139.25</v>
      </c>
    </row>
    <row r="152" spans="2:4" hidden="1" x14ac:dyDescent="0.3">
      <c r="B152" s="191" t="s">
        <v>510</v>
      </c>
      <c r="C152" s="165">
        <v>171060.56</v>
      </c>
      <c r="D152" s="192"/>
    </row>
    <row r="153" spans="2:4" hidden="1" x14ac:dyDescent="0.3">
      <c r="B153" s="191" t="s">
        <v>420</v>
      </c>
      <c r="C153" s="165">
        <v>1900000</v>
      </c>
      <c r="D153" s="192"/>
    </row>
    <row r="154" spans="2:4" hidden="1" x14ac:dyDescent="0.3">
      <c r="B154" s="191" t="s">
        <v>421</v>
      </c>
      <c r="C154" s="165">
        <v>105000</v>
      </c>
      <c r="D154" s="192"/>
    </row>
    <row r="155" spans="2:4" hidden="1" x14ac:dyDescent="0.3">
      <c r="B155" s="191" t="s">
        <v>511</v>
      </c>
      <c r="C155" s="165">
        <v>23600</v>
      </c>
      <c r="D155" s="192"/>
    </row>
    <row r="156" spans="2:4" hidden="1" x14ac:dyDescent="0.3">
      <c r="B156" s="191" t="s">
        <v>423</v>
      </c>
      <c r="C156" s="192"/>
      <c r="D156" s="165">
        <v>2400000</v>
      </c>
    </row>
    <row r="157" spans="2:4" hidden="1" x14ac:dyDescent="0.3">
      <c r="B157" s="191" t="s">
        <v>512</v>
      </c>
      <c r="C157" s="165">
        <v>34102</v>
      </c>
      <c r="D157" s="192"/>
    </row>
    <row r="158" spans="2:4" hidden="1" x14ac:dyDescent="0.3">
      <c r="B158" s="191" t="s">
        <v>513</v>
      </c>
      <c r="C158" s="165">
        <v>447627</v>
      </c>
      <c r="D158" s="192"/>
    </row>
    <row r="159" spans="2:4" hidden="1" x14ac:dyDescent="0.3">
      <c r="B159" s="191" t="s">
        <v>424</v>
      </c>
      <c r="C159" s="165">
        <v>0.49</v>
      </c>
      <c r="D159" s="192"/>
    </row>
    <row r="160" spans="2:4" hidden="1" x14ac:dyDescent="0.3">
      <c r="B160" s="191" t="s">
        <v>355</v>
      </c>
      <c r="C160" s="192"/>
      <c r="D160" s="165">
        <v>989400</v>
      </c>
    </row>
    <row r="161" spans="2:4" hidden="1" x14ac:dyDescent="0.3">
      <c r="B161" s="191" t="s">
        <v>514</v>
      </c>
      <c r="C161" s="165">
        <v>468</v>
      </c>
      <c r="D161" s="192"/>
    </row>
    <row r="162" spans="2:4" hidden="1" x14ac:dyDescent="0.3">
      <c r="B162" s="191" t="s">
        <v>515</v>
      </c>
      <c r="C162" s="192"/>
      <c r="D162" s="165">
        <v>1385697.6</v>
      </c>
    </row>
    <row r="163" spans="2:4" hidden="1" x14ac:dyDescent="0.3">
      <c r="B163" s="191" t="s">
        <v>292</v>
      </c>
      <c r="C163" s="165">
        <v>128120</v>
      </c>
      <c r="D163" s="192"/>
    </row>
    <row r="164" spans="2:4" hidden="1" x14ac:dyDescent="0.3">
      <c r="B164" s="191" t="s">
        <v>575</v>
      </c>
      <c r="C164" s="165">
        <v>17324</v>
      </c>
      <c r="D164" s="192"/>
    </row>
    <row r="165" spans="2:4" hidden="1" x14ac:dyDescent="0.3">
      <c r="B165" s="191" t="s">
        <v>425</v>
      </c>
      <c r="C165" s="165">
        <v>47651</v>
      </c>
      <c r="D165" s="192"/>
    </row>
    <row r="166" spans="2:4" hidden="1" x14ac:dyDescent="0.3">
      <c r="B166" s="191" t="s">
        <v>516</v>
      </c>
      <c r="C166" s="165">
        <v>482200</v>
      </c>
      <c r="D166" s="192"/>
    </row>
    <row r="167" spans="2:4" hidden="1" x14ac:dyDescent="0.3">
      <c r="B167" s="191" t="s">
        <v>426</v>
      </c>
      <c r="C167" s="192"/>
      <c r="D167" s="165">
        <v>1899.8</v>
      </c>
    </row>
    <row r="168" spans="2:4" hidden="1" x14ac:dyDescent="0.3">
      <c r="B168" s="191" t="s">
        <v>427</v>
      </c>
      <c r="C168" s="192"/>
      <c r="D168" s="165">
        <v>7590.01</v>
      </c>
    </row>
    <row r="169" spans="2:4" hidden="1" x14ac:dyDescent="0.3">
      <c r="B169" s="191" t="s">
        <v>576</v>
      </c>
      <c r="C169" s="165">
        <v>51000</v>
      </c>
      <c r="D169" s="192"/>
    </row>
    <row r="170" spans="2:4" hidden="1" x14ac:dyDescent="0.3">
      <c r="B170" s="191" t="s">
        <v>517</v>
      </c>
      <c r="C170" s="165">
        <v>57000</v>
      </c>
      <c r="D170" s="192"/>
    </row>
    <row r="171" spans="2:4" hidden="1" x14ac:dyDescent="0.3">
      <c r="B171" s="191" t="s">
        <v>518</v>
      </c>
      <c r="C171" s="165">
        <v>45938</v>
      </c>
      <c r="D171" s="192"/>
    </row>
    <row r="172" spans="2:4" hidden="1" x14ac:dyDescent="0.3">
      <c r="B172" s="191" t="s">
        <v>356</v>
      </c>
      <c r="C172" s="192"/>
      <c r="D172" s="165">
        <v>11331.92</v>
      </c>
    </row>
    <row r="173" spans="2:4" hidden="1" x14ac:dyDescent="0.3">
      <c r="B173" s="191" t="s">
        <v>519</v>
      </c>
      <c r="C173" s="165">
        <v>11060.14</v>
      </c>
      <c r="D173" s="192"/>
    </row>
    <row r="174" spans="2:4" ht="23" hidden="1" x14ac:dyDescent="0.3">
      <c r="B174" s="222" t="s">
        <v>357</v>
      </c>
      <c r="C174" s="192"/>
      <c r="D174" s="165">
        <v>5800</v>
      </c>
    </row>
    <row r="175" spans="2:4" hidden="1" x14ac:dyDescent="0.3">
      <c r="B175" s="191" t="s">
        <v>520</v>
      </c>
      <c r="C175" s="165">
        <v>88004</v>
      </c>
      <c r="D175" s="192"/>
    </row>
    <row r="176" spans="2:4" hidden="1" x14ac:dyDescent="0.3">
      <c r="B176" s="191" t="s">
        <v>521</v>
      </c>
      <c r="C176" s="165">
        <v>731.37</v>
      </c>
      <c r="D176" s="192"/>
    </row>
    <row r="177" spans="2:4" hidden="1" x14ac:dyDescent="0.3">
      <c r="B177" s="191" t="s">
        <v>429</v>
      </c>
      <c r="C177" s="192"/>
      <c r="D177" s="165">
        <v>650</v>
      </c>
    </row>
    <row r="178" spans="2:4" hidden="1" x14ac:dyDescent="0.3">
      <c r="B178" s="191" t="s">
        <v>339</v>
      </c>
      <c r="C178" s="192"/>
      <c r="D178" s="165">
        <v>2805.16</v>
      </c>
    </row>
    <row r="179" spans="2:4" hidden="1" x14ac:dyDescent="0.3">
      <c r="B179" s="221" t="s">
        <v>95</v>
      </c>
      <c r="C179" s="194">
        <v>18784302.010000002</v>
      </c>
      <c r="D179" s="194">
        <v>20297173.550000001</v>
      </c>
    </row>
    <row r="180" spans="2:4" x14ac:dyDescent="0.3">
      <c r="D180" s="9"/>
    </row>
  </sheetData>
  <autoFilter ref="B63:I180" xr:uid="{815FF84C-D767-4C12-96D0-E136A6A553E8}"/>
  <mergeCells count="3">
    <mergeCell ref="B1:C1"/>
    <mergeCell ref="H1:I1"/>
    <mergeCell ref="H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B85CE-A753-4FCD-8F12-20AA8F0819F9}">
  <dimension ref="B1:D119"/>
  <sheetViews>
    <sheetView workbookViewId="0">
      <selection activeCell="C3" sqref="C3"/>
    </sheetView>
  </sheetViews>
  <sheetFormatPr defaultColWidth="8.90625" defaultRowHeight="14" x14ac:dyDescent="0.3"/>
  <cols>
    <col min="1" max="1" width="8.90625" style="8"/>
    <col min="2" max="2" width="43.6328125" style="8" bestFit="1" customWidth="1"/>
    <col min="3" max="3" width="11.81640625" style="8" bestFit="1" customWidth="1"/>
    <col min="4" max="4" width="10" style="8" bestFit="1" customWidth="1"/>
    <col min="5" max="16384" width="8.90625" style="8"/>
  </cols>
  <sheetData>
    <row r="1" spans="2:3" x14ac:dyDescent="0.3">
      <c r="B1" s="12" t="s">
        <v>295</v>
      </c>
    </row>
    <row r="2" spans="2:3" x14ac:dyDescent="0.3">
      <c r="B2" s="12"/>
    </row>
    <row r="3" spans="2:3" x14ac:dyDescent="0.3">
      <c r="B3" s="31" t="s">
        <v>1</v>
      </c>
      <c r="C3" s="31" t="s">
        <v>2</v>
      </c>
    </row>
    <row r="4" spans="2:3" x14ac:dyDescent="0.3">
      <c r="B4" s="10" t="s">
        <v>469</v>
      </c>
      <c r="C4" s="174">
        <v>21958</v>
      </c>
    </row>
    <row r="5" spans="2:3" x14ac:dyDescent="0.3">
      <c r="B5" s="10" t="s">
        <v>470</v>
      </c>
      <c r="C5" s="174">
        <v>18785.3</v>
      </c>
    </row>
    <row r="6" spans="2:3" x14ac:dyDescent="0.3">
      <c r="B6" s="10" t="s">
        <v>471</v>
      </c>
      <c r="C6" s="174">
        <v>108911</v>
      </c>
    </row>
    <row r="7" spans="2:3" x14ac:dyDescent="0.3">
      <c r="B7" s="10" t="s">
        <v>472</v>
      </c>
      <c r="C7" s="174">
        <v>7331.1</v>
      </c>
    </row>
    <row r="8" spans="2:3" x14ac:dyDescent="0.3">
      <c r="B8" s="10" t="s">
        <v>409</v>
      </c>
      <c r="C8" s="174">
        <v>95734.25</v>
      </c>
    </row>
    <row r="9" spans="2:3" x14ac:dyDescent="0.3">
      <c r="B9" s="10" t="s">
        <v>473</v>
      </c>
      <c r="C9" s="174">
        <v>4562.0200000000004</v>
      </c>
    </row>
    <row r="10" spans="2:3" x14ac:dyDescent="0.3">
      <c r="B10" s="10" t="s">
        <v>474</v>
      </c>
      <c r="C10" s="174">
        <v>14638</v>
      </c>
    </row>
    <row r="11" spans="2:3" x14ac:dyDescent="0.3">
      <c r="B11" s="10" t="s">
        <v>475</v>
      </c>
      <c r="C11" s="174">
        <v>15792</v>
      </c>
    </row>
    <row r="12" spans="2:3" x14ac:dyDescent="0.3">
      <c r="B12" s="10" t="s">
        <v>388</v>
      </c>
      <c r="C12" s="174">
        <v>2502531.52</v>
      </c>
    </row>
    <row r="13" spans="2:3" x14ac:dyDescent="0.3">
      <c r="B13" s="10" t="s">
        <v>353</v>
      </c>
      <c r="C13" s="174">
        <v>2975.91</v>
      </c>
    </row>
    <row r="14" spans="2:3" x14ac:dyDescent="0.3">
      <c r="B14" s="10" t="s">
        <v>478</v>
      </c>
      <c r="C14" s="174">
        <v>346098.14</v>
      </c>
    </row>
    <row r="15" spans="2:3" x14ac:dyDescent="0.3">
      <c r="B15" s="10" t="s">
        <v>131</v>
      </c>
      <c r="C15" s="174">
        <v>313416.34999999998</v>
      </c>
    </row>
    <row r="16" spans="2:3" x14ac:dyDescent="0.3">
      <c r="B16" s="10" t="s">
        <v>390</v>
      </c>
      <c r="C16" s="174">
        <v>20798.68</v>
      </c>
    </row>
    <row r="17" spans="2:4" x14ac:dyDescent="0.3">
      <c r="B17" s="10" t="s">
        <v>484</v>
      </c>
      <c r="C17" s="174">
        <v>2925212.96</v>
      </c>
    </row>
    <row r="18" spans="2:4" x14ac:dyDescent="0.3">
      <c r="B18" s="10" t="s">
        <v>293</v>
      </c>
      <c r="C18" s="174">
        <v>13000</v>
      </c>
    </row>
    <row r="19" spans="2:4" x14ac:dyDescent="0.3">
      <c r="B19" s="10" t="s">
        <v>392</v>
      </c>
      <c r="C19" s="174">
        <v>122602.37</v>
      </c>
    </row>
    <row r="20" spans="2:4" x14ac:dyDescent="0.3">
      <c r="B20" s="10" t="s">
        <v>119</v>
      </c>
      <c r="C20" s="174">
        <v>10030</v>
      </c>
    </row>
    <row r="21" spans="2:4" x14ac:dyDescent="0.3">
      <c r="B21" s="10" t="s">
        <v>394</v>
      </c>
      <c r="C21" s="174">
        <v>211974</v>
      </c>
    </row>
    <row r="22" spans="2:4" x14ac:dyDescent="0.3">
      <c r="B22" s="10" t="s">
        <v>485</v>
      </c>
      <c r="C22" s="174">
        <v>244123.15</v>
      </c>
      <c r="D22" s="174"/>
    </row>
    <row r="23" spans="2:4" x14ac:dyDescent="0.3">
      <c r="B23" s="10" t="s">
        <v>486</v>
      </c>
      <c r="C23" s="174">
        <v>1298</v>
      </c>
    </row>
    <row r="24" spans="2:4" x14ac:dyDescent="0.3">
      <c r="B24" s="10" t="s">
        <v>488</v>
      </c>
      <c r="C24" s="174">
        <v>148106</v>
      </c>
    </row>
    <row r="25" spans="2:4" x14ac:dyDescent="0.3">
      <c r="B25" s="10" t="s">
        <v>395</v>
      </c>
      <c r="C25" s="174">
        <v>280.25</v>
      </c>
    </row>
    <row r="26" spans="2:4" x14ac:dyDescent="0.3">
      <c r="B26" s="10" t="s">
        <v>489</v>
      </c>
      <c r="C26" s="174">
        <v>44100</v>
      </c>
    </row>
    <row r="27" spans="2:4" x14ac:dyDescent="0.3">
      <c r="B27" s="10" t="s">
        <v>396</v>
      </c>
      <c r="C27" s="174">
        <v>91996</v>
      </c>
    </row>
    <row r="28" spans="2:4" x14ac:dyDescent="0.3">
      <c r="B28" s="10" t="s">
        <v>397</v>
      </c>
      <c r="C28" s="174">
        <v>2076.8000000000002</v>
      </c>
    </row>
    <row r="29" spans="2:4" x14ac:dyDescent="0.3">
      <c r="B29" s="10" t="s">
        <v>398</v>
      </c>
      <c r="C29" s="174">
        <v>12415</v>
      </c>
    </row>
    <row r="30" spans="2:4" x14ac:dyDescent="0.3">
      <c r="B30" s="10" t="s">
        <v>401</v>
      </c>
      <c r="C30" s="174">
        <v>94040.67</v>
      </c>
    </row>
    <row r="31" spans="2:4" x14ac:dyDescent="0.3">
      <c r="B31" s="10" t="s">
        <v>491</v>
      </c>
      <c r="C31" s="174">
        <v>473525</v>
      </c>
    </row>
    <row r="32" spans="2:4" x14ac:dyDescent="0.3">
      <c r="B32" s="10" t="s">
        <v>492</v>
      </c>
      <c r="C32" s="174">
        <v>2967</v>
      </c>
    </row>
    <row r="33" spans="2:3" x14ac:dyDescent="0.3">
      <c r="B33" s="10" t="s">
        <v>404</v>
      </c>
      <c r="C33" s="174">
        <v>188454</v>
      </c>
    </row>
    <row r="34" spans="2:3" x14ac:dyDescent="0.3">
      <c r="B34" s="10" t="s">
        <v>405</v>
      </c>
      <c r="C34" s="174">
        <v>31860.48</v>
      </c>
    </row>
    <row r="35" spans="2:3" x14ac:dyDescent="0.3">
      <c r="B35" s="10" t="s">
        <v>494</v>
      </c>
      <c r="C35" s="174">
        <v>2983091.09</v>
      </c>
    </row>
    <row r="36" spans="2:3" x14ac:dyDescent="0.3">
      <c r="B36" s="10" t="s">
        <v>496</v>
      </c>
      <c r="C36" s="174">
        <v>172040.51</v>
      </c>
    </row>
    <row r="37" spans="2:3" x14ac:dyDescent="0.3">
      <c r="B37" s="10" t="s">
        <v>406</v>
      </c>
      <c r="C37" s="174">
        <v>376200</v>
      </c>
    </row>
    <row r="38" spans="2:3" x14ac:dyDescent="0.3">
      <c r="B38" s="10" t="s">
        <v>407</v>
      </c>
      <c r="C38" s="174">
        <v>62761.78</v>
      </c>
    </row>
    <row r="39" spans="2:3" x14ac:dyDescent="0.3">
      <c r="B39" s="10" t="s">
        <v>497</v>
      </c>
      <c r="C39" s="174">
        <v>9528.75</v>
      </c>
    </row>
    <row r="40" spans="2:3" x14ac:dyDescent="0.3">
      <c r="B40" s="10" t="s">
        <v>500</v>
      </c>
      <c r="C40" s="174">
        <v>144144</v>
      </c>
    </row>
    <row r="41" spans="2:3" x14ac:dyDescent="0.3">
      <c r="B41" s="10" t="s">
        <v>350</v>
      </c>
      <c r="C41" s="174">
        <v>2560.6</v>
      </c>
    </row>
    <row r="42" spans="2:3" x14ac:dyDescent="0.3">
      <c r="B42" s="10" t="s">
        <v>501</v>
      </c>
      <c r="C42" s="174">
        <v>79231.42</v>
      </c>
    </row>
    <row r="43" spans="2:3" x14ac:dyDescent="0.3">
      <c r="B43" s="10" t="s">
        <v>413</v>
      </c>
      <c r="C43" s="174">
        <v>23628</v>
      </c>
    </row>
    <row r="44" spans="2:3" x14ac:dyDescent="0.3">
      <c r="B44" s="10" t="s">
        <v>506</v>
      </c>
      <c r="C44" s="174">
        <v>111483.8</v>
      </c>
    </row>
    <row r="45" spans="2:3" x14ac:dyDescent="0.3">
      <c r="B45" s="10" t="s">
        <v>415</v>
      </c>
      <c r="C45" s="174">
        <v>3264182.63</v>
      </c>
    </row>
    <row r="46" spans="2:3" x14ac:dyDescent="0.3">
      <c r="B46" s="10" t="s">
        <v>508</v>
      </c>
      <c r="C46" s="174">
        <v>156500</v>
      </c>
    </row>
    <row r="47" spans="2:3" x14ac:dyDescent="0.3">
      <c r="B47" s="10" t="s">
        <v>416</v>
      </c>
      <c r="C47" s="174">
        <v>2221.2800000000002</v>
      </c>
    </row>
    <row r="48" spans="2:3" x14ac:dyDescent="0.3">
      <c r="B48" s="10" t="s">
        <v>417</v>
      </c>
      <c r="C48" s="174">
        <v>5792</v>
      </c>
    </row>
    <row r="49" spans="2:3" x14ac:dyDescent="0.3">
      <c r="B49" s="10" t="s">
        <v>418</v>
      </c>
      <c r="C49" s="174">
        <v>5900</v>
      </c>
    </row>
    <row r="50" spans="2:3" x14ac:dyDescent="0.3">
      <c r="B50" s="10" t="s">
        <v>509</v>
      </c>
      <c r="C50" s="174">
        <v>1139.25</v>
      </c>
    </row>
    <row r="51" spans="2:3" x14ac:dyDescent="0.3">
      <c r="B51" s="10" t="s">
        <v>423</v>
      </c>
      <c r="C51" s="174">
        <v>2400000</v>
      </c>
    </row>
    <row r="52" spans="2:3" x14ac:dyDescent="0.3">
      <c r="B52" s="10" t="s">
        <v>355</v>
      </c>
      <c r="C52" s="174">
        <v>989400</v>
      </c>
    </row>
    <row r="53" spans="2:3" x14ac:dyDescent="0.3">
      <c r="B53" s="43" t="s">
        <v>515</v>
      </c>
      <c r="C53" s="61">
        <v>1385697.6</v>
      </c>
    </row>
    <row r="54" spans="2:3" x14ac:dyDescent="0.3">
      <c r="B54" s="43" t="s">
        <v>426</v>
      </c>
      <c r="C54" s="61">
        <v>1899.8</v>
      </c>
    </row>
    <row r="55" spans="2:3" x14ac:dyDescent="0.3">
      <c r="B55" s="43" t="s">
        <v>427</v>
      </c>
      <c r="C55" s="61">
        <v>7590.01</v>
      </c>
    </row>
    <row r="56" spans="2:3" x14ac:dyDescent="0.3">
      <c r="B56" s="43" t="s">
        <v>356</v>
      </c>
      <c r="C56" s="61">
        <v>11331.92</v>
      </c>
    </row>
    <row r="57" spans="2:3" x14ac:dyDescent="0.3">
      <c r="B57" s="43" t="s">
        <v>357</v>
      </c>
      <c r="C57" s="61">
        <v>5800</v>
      </c>
    </row>
    <row r="58" spans="2:3" x14ac:dyDescent="0.3">
      <c r="B58" s="43" t="s">
        <v>429</v>
      </c>
      <c r="C58" s="61">
        <v>650</v>
      </c>
    </row>
    <row r="59" spans="2:3" x14ac:dyDescent="0.3">
      <c r="B59" s="43" t="s">
        <v>339</v>
      </c>
      <c r="C59" s="61">
        <v>2805.16</v>
      </c>
    </row>
    <row r="60" spans="2:3" ht="15.5" x14ac:dyDescent="0.35">
      <c r="B60" s="231" t="s">
        <v>589</v>
      </c>
      <c r="C60" s="168">
        <v>50534.37</v>
      </c>
    </row>
    <row r="61" spans="2:3" x14ac:dyDescent="0.3">
      <c r="B61" s="43"/>
      <c r="C61" s="61"/>
    </row>
    <row r="62" spans="2:3" x14ac:dyDescent="0.3">
      <c r="B62" s="46" t="s">
        <v>294</v>
      </c>
      <c r="C62" s="62">
        <f>-SUM(C4:C60)</f>
        <v>-20347707.920000009</v>
      </c>
    </row>
    <row r="63" spans="2:3" x14ac:dyDescent="0.3">
      <c r="C63" s="9"/>
    </row>
    <row r="65" spans="2:4" x14ac:dyDescent="0.3">
      <c r="D65" s="196"/>
    </row>
    <row r="66" spans="2:4" x14ac:dyDescent="0.3">
      <c r="B66" s="195"/>
      <c r="C66" s="199"/>
      <c r="D66" s="196"/>
    </row>
    <row r="67" spans="2:4" x14ac:dyDescent="0.3">
      <c r="B67" s="195"/>
      <c r="C67" s="199"/>
      <c r="D67" s="196"/>
    </row>
    <row r="68" spans="2:4" x14ac:dyDescent="0.3">
      <c r="B68" s="195"/>
      <c r="C68" s="199"/>
      <c r="D68" s="196"/>
    </row>
    <row r="69" spans="2:4" x14ac:dyDescent="0.3">
      <c r="B69" s="195"/>
      <c r="C69" s="199"/>
      <c r="D69" s="196"/>
    </row>
    <row r="70" spans="2:4" x14ac:dyDescent="0.3">
      <c r="B70" s="195"/>
      <c r="C70" s="199"/>
      <c r="D70" s="196"/>
    </row>
    <row r="71" spans="2:4" x14ac:dyDescent="0.3">
      <c r="B71" s="195"/>
      <c r="C71" s="199"/>
      <c r="D71" s="196"/>
    </row>
    <row r="72" spans="2:4" x14ac:dyDescent="0.3">
      <c r="B72" s="195"/>
      <c r="C72" s="199"/>
      <c r="D72" s="196"/>
    </row>
    <row r="73" spans="2:4" x14ac:dyDescent="0.3">
      <c r="B73" s="219"/>
      <c r="C73" s="199"/>
      <c r="D73" s="196"/>
    </row>
    <row r="74" spans="2:4" x14ac:dyDescent="0.3">
      <c r="B74" s="195"/>
      <c r="C74" s="199"/>
      <c r="D74" s="196"/>
    </row>
    <row r="75" spans="2:4" x14ac:dyDescent="0.3">
      <c r="B75" s="195"/>
      <c r="C75" s="199"/>
      <c r="D75" s="196"/>
    </row>
    <row r="76" spans="2:4" x14ac:dyDescent="0.3">
      <c r="B76" s="195"/>
      <c r="C76" s="199"/>
      <c r="D76" s="196"/>
    </row>
    <row r="77" spans="2:4" x14ac:dyDescent="0.3">
      <c r="B77" s="195"/>
      <c r="C77" s="199"/>
      <c r="D77" s="196"/>
    </row>
    <row r="78" spans="2:4" x14ac:dyDescent="0.3">
      <c r="B78" s="220"/>
      <c r="C78" s="199"/>
      <c r="D78" s="196"/>
    </row>
    <row r="79" spans="2:4" x14ac:dyDescent="0.3">
      <c r="B79" s="195"/>
      <c r="C79" s="199"/>
      <c r="D79" s="196"/>
    </row>
    <row r="80" spans="2:4" x14ac:dyDescent="0.3">
      <c r="B80" s="195"/>
      <c r="C80" s="199"/>
      <c r="D80" s="196"/>
    </row>
    <row r="81" spans="2:4" x14ac:dyDescent="0.3">
      <c r="B81" s="195"/>
      <c r="C81" s="199"/>
      <c r="D81" s="196"/>
    </row>
    <row r="82" spans="2:4" x14ac:dyDescent="0.3">
      <c r="B82" s="195"/>
      <c r="C82" s="199"/>
      <c r="D82" s="196"/>
    </row>
    <row r="83" spans="2:4" x14ac:dyDescent="0.3">
      <c r="B83" s="195"/>
      <c r="C83" s="199"/>
      <c r="D83" s="196"/>
    </row>
    <row r="84" spans="2:4" x14ac:dyDescent="0.3">
      <c r="B84" s="191"/>
      <c r="C84" s="192"/>
      <c r="D84" s="165"/>
    </row>
    <row r="85" spans="2:4" x14ac:dyDescent="0.3">
      <c r="B85" s="191"/>
      <c r="C85" s="192"/>
      <c r="D85" s="165"/>
    </row>
    <row r="86" spans="2:4" x14ac:dyDescent="0.3">
      <c r="B86" s="191"/>
      <c r="C86" s="192"/>
      <c r="D86" s="165"/>
    </row>
    <row r="87" spans="2:4" x14ac:dyDescent="0.3">
      <c r="B87" s="191"/>
      <c r="C87" s="192"/>
      <c r="D87" s="165"/>
    </row>
    <row r="88" spans="2:4" x14ac:dyDescent="0.3">
      <c r="B88" s="191"/>
      <c r="C88" s="192"/>
      <c r="D88" s="165"/>
    </row>
    <row r="89" spans="2:4" x14ac:dyDescent="0.3">
      <c r="B89" s="191"/>
      <c r="C89" s="192"/>
      <c r="D89" s="165"/>
    </row>
    <row r="90" spans="2:4" x14ac:dyDescent="0.3">
      <c r="B90" s="191"/>
      <c r="C90" s="192"/>
      <c r="D90" s="165"/>
    </row>
    <row r="91" spans="2:4" x14ac:dyDescent="0.3">
      <c r="B91" s="191"/>
      <c r="C91" s="192"/>
      <c r="D91" s="165"/>
    </row>
    <row r="92" spans="2:4" x14ac:dyDescent="0.3">
      <c r="B92" s="191"/>
      <c r="C92" s="192"/>
      <c r="D92" s="165"/>
    </row>
    <row r="93" spans="2:4" x14ac:dyDescent="0.3">
      <c r="B93" s="191"/>
      <c r="C93" s="192"/>
      <c r="D93" s="165"/>
    </row>
    <row r="94" spans="2:4" x14ac:dyDescent="0.3">
      <c r="B94" s="191"/>
      <c r="C94" s="192"/>
      <c r="D94" s="165"/>
    </row>
    <row r="95" spans="2:4" x14ac:dyDescent="0.3">
      <c r="B95" s="191"/>
      <c r="C95" s="192"/>
      <c r="D95" s="165"/>
    </row>
    <row r="96" spans="2:4" x14ac:dyDescent="0.3">
      <c r="B96" s="191"/>
      <c r="C96" s="192"/>
      <c r="D96" s="165"/>
    </row>
    <row r="97" spans="2:4" x14ac:dyDescent="0.3">
      <c r="B97" s="191"/>
      <c r="C97" s="192"/>
      <c r="D97" s="165"/>
    </row>
    <row r="98" spans="2:4" x14ac:dyDescent="0.3">
      <c r="B98" s="191"/>
      <c r="C98" s="192"/>
      <c r="D98" s="165"/>
    </row>
    <row r="99" spans="2:4" x14ac:dyDescent="0.3">
      <c r="B99" s="191"/>
      <c r="C99" s="192"/>
      <c r="D99" s="165"/>
    </row>
    <row r="100" spans="2:4" x14ac:dyDescent="0.3">
      <c r="B100" s="191"/>
      <c r="C100" s="192"/>
      <c r="D100" s="165"/>
    </row>
    <row r="101" spans="2:4" x14ac:dyDescent="0.3">
      <c r="B101" s="191"/>
      <c r="C101" s="192"/>
      <c r="D101" s="165"/>
    </row>
    <row r="102" spans="2:4" x14ac:dyDescent="0.3">
      <c r="B102" s="191"/>
      <c r="C102" s="192"/>
      <c r="D102" s="165"/>
    </row>
    <row r="103" spans="2:4" x14ac:dyDescent="0.3">
      <c r="B103" s="191"/>
      <c r="C103" s="192"/>
      <c r="D103" s="165"/>
    </row>
    <row r="104" spans="2:4" x14ac:dyDescent="0.3">
      <c r="B104" s="191"/>
      <c r="C104" s="192"/>
      <c r="D104" s="165"/>
    </row>
    <row r="105" spans="2:4" x14ac:dyDescent="0.3">
      <c r="B105" s="191"/>
      <c r="C105" s="192"/>
      <c r="D105" s="165"/>
    </row>
    <row r="106" spans="2:4" x14ac:dyDescent="0.3">
      <c r="B106" s="191"/>
      <c r="C106" s="192"/>
      <c r="D106" s="165"/>
    </row>
    <row r="107" spans="2:4" x14ac:dyDescent="0.3">
      <c r="B107" s="191"/>
      <c r="C107" s="192"/>
      <c r="D107" s="165"/>
    </row>
    <row r="108" spans="2:4" x14ac:dyDescent="0.3">
      <c r="B108" s="191"/>
      <c r="C108" s="192"/>
      <c r="D108" s="165"/>
    </row>
    <row r="109" spans="2:4" x14ac:dyDescent="0.3">
      <c r="B109" s="191"/>
      <c r="C109" s="192"/>
      <c r="D109" s="165"/>
    </row>
    <row r="110" spans="2:4" x14ac:dyDescent="0.3">
      <c r="B110" s="191"/>
      <c r="C110" s="192"/>
      <c r="D110" s="165"/>
    </row>
    <row r="111" spans="2:4" x14ac:dyDescent="0.3">
      <c r="B111" s="191"/>
      <c r="C111" s="192"/>
      <c r="D111" s="165"/>
    </row>
    <row r="112" spans="2:4" x14ac:dyDescent="0.3">
      <c r="B112" s="191"/>
      <c r="C112" s="192"/>
      <c r="D112" s="165"/>
    </row>
    <row r="113" spans="2:4" x14ac:dyDescent="0.3">
      <c r="B113" s="191"/>
      <c r="C113" s="192"/>
      <c r="D113" s="165"/>
    </row>
    <row r="114" spans="2:4" x14ac:dyDescent="0.3">
      <c r="B114" s="191"/>
      <c r="C114" s="192"/>
      <c r="D114" s="165"/>
    </row>
    <row r="115" spans="2:4" x14ac:dyDescent="0.3">
      <c r="B115" s="191"/>
      <c r="C115" s="192"/>
      <c r="D115" s="165"/>
    </row>
    <row r="116" spans="2:4" x14ac:dyDescent="0.3">
      <c r="B116" s="191"/>
      <c r="C116" s="192"/>
      <c r="D116" s="165"/>
    </row>
    <row r="117" spans="2:4" x14ac:dyDescent="0.3">
      <c r="B117" s="222"/>
      <c r="C117" s="192"/>
      <c r="D117" s="165"/>
    </row>
    <row r="118" spans="2:4" x14ac:dyDescent="0.3">
      <c r="B118" s="191"/>
      <c r="C118" s="192"/>
      <c r="D118" s="165"/>
    </row>
    <row r="119" spans="2:4" x14ac:dyDescent="0.3">
      <c r="B119" s="191"/>
      <c r="C119" s="192"/>
      <c r="D119" s="16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B1AB-DD5C-454B-8606-695F27F7A875}">
  <dimension ref="B3:C144"/>
  <sheetViews>
    <sheetView workbookViewId="0">
      <selection activeCell="B6" sqref="B6"/>
    </sheetView>
  </sheetViews>
  <sheetFormatPr defaultColWidth="8.90625" defaultRowHeight="13" x14ac:dyDescent="0.3"/>
  <cols>
    <col min="1" max="1" width="8.90625" style="69"/>
    <col min="2" max="2" width="44" style="69" bestFit="1" customWidth="1"/>
    <col min="3" max="3" width="14.453125" style="285" bestFit="1" customWidth="1"/>
    <col min="4" max="4" width="30" style="69" bestFit="1" customWidth="1"/>
    <col min="5" max="5" width="11.36328125" style="69" bestFit="1" customWidth="1"/>
    <col min="6" max="16384" width="8.90625" style="69"/>
  </cols>
  <sheetData>
    <row r="3" spans="2:3" x14ac:dyDescent="0.3">
      <c r="C3" s="285" t="s">
        <v>547</v>
      </c>
    </row>
    <row r="4" spans="2:3" x14ac:dyDescent="0.3">
      <c r="B4" s="286" t="s">
        <v>459</v>
      </c>
      <c r="C4" s="287" t="s">
        <v>2</v>
      </c>
    </row>
    <row r="5" spans="2:3" x14ac:dyDescent="0.3">
      <c r="B5" s="288" t="s">
        <v>139</v>
      </c>
      <c r="C5" s="296">
        <f>SUM(C6:C8)</f>
        <v>153032.81</v>
      </c>
    </row>
    <row r="6" spans="2:3" x14ac:dyDescent="0.3">
      <c r="B6" s="289" t="s">
        <v>140</v>
      </c>
      <c r="C6" s="297">
        <v>30104</v>
      </c>
    </row>
    <row r="7" spans="2:3" x14ac:dyDescent="0.3">
      <c r="B7" s="289" t="s">
        <v>141</v>
      </c>
      <c r="C7" s="297">
        <v>30528.81</v>
      </c>
    </row>
    <row r="8" spans="2:3" x14ac:dyDescent="0.3">
      <c r="B8" s="289" t="s">
        <v>142</v>
      </c>
      <c r="C8" s="297">
        <v>92400</v>
      </c>
    </row>
    <row r="9" spans="2:3" x14ac:dyDescent="0.3">
      <c r="B9" s="289"/>
      <c r="C9" s="297"/>
    </row>
    <row r="10" spans="2:3" x14ac:dyDescent="0.3">
      <c r="B10" s="288" t="s">
        <v>300</v>
      </c>
      <c r="C10" s="296">
        <v>9558</v>
      </c>
    </row>
    <row r="11" spans="2:3" x14ac:dyDescent="0.3">
      <c r="B11" s="289" t="s">
        <v>448</v>
      </c>
      <c r="C11" s="297">
        <v>9558</v>
      </c>
    </row>
    <row r="12" spans="2:3" x14ac:dyDescent="0.3">
      <c r="B12" s="289"/>
      <c r="C12" s="297"/>
    </row>
    <row r="13" spans="2:3" x14ac:dyDescent="0.3">
      <c r="B13" s="288" t="s">
        <v>20</v>
      </c>
      <c r="C13" s="296">
        <f>SUM(C14:C15)</f>
        <v>103718.65</v>
      </c>
    </row>
    <row r="14" spans="2:3" x14ac:dyDescent="0.3">
      <c r="B14" s="289" t="s">
        <v>143</v>
      </c>
      <c r="C14" s="297">
        <v>55667.8</v>
      </c>
    </row>
    <row r="15" spans="2:3" x14ac:dyDescent="0.3">
      <c r="B15" s="289" t="s">
        <v>144</v>
      </c>
      <c r="C15" s="297">
        <v>48050.85</v>
      </c>
    </row>
    <row r="16" spans="2:3" x14ac:dyDescent="0.3">
      <c r="B16" s="289"/>
      <c r="C16" s="297"/>
    </row>
    <row r="17" spans="2:3" ht="26" x14ac:dyDescent="0.3">
      <c r="B17" s="290" t="s">
        <v>370</v>
      </c>
      <c r="C17" s="296">
        <v>224.42</v>
      </c>
    </row>
    <row r="18" spans="2:3" x14ac:dyDescent="0.3">
      <c r="B18" s="289" t="s">
        <v>183</v>
      </c>
      <c r="C18" s="297">
        <v>224.42</v>
      </c>
    </row>
    <row r="19" spans="2:3" x14ac:dyDescent="0.3">
      <c r="B19" s="289"/>
      <c r="C19" s="297"/>
    </row>
    <row r="20" spans="2:3" ht="26" x14ac:dyDescent="0.3">
      <c r="B20" s="290" t="s">
        <v>371</v>
      </c>
      <c r="C20" s="296">
        <f>SUM(C21:C26)</f>
        <v>6195047.5800000001</v>
      </c>
    </row>
    <row r="21" spans="2:3" x14ac:dyDescent="0.3">
      <c r="B21" s="289" t="s">
        <v>146</v>
      </c>
      <c r="C21" s="297">
        <v>22496.68</v>
      </c>
    </row>
    <row r="22" spans="2:3" x14ac:dyDescent="0.3">
      <c r="B22" s="289" t="s">
        <v>449</v>
      </c>
      <c r="C22" s="297">
        <v>37040.44</v>
      </c>
    </row>
    <row r="23" spans="2:3" x14ac:dyDescent="0.3">
      <c r="B23" s="289" t="s">
        <v>450</v>
      </c>
      <c r="C23" s="297">
        <v>6440</v>
      </c>
    </row>
    <row r="24" spans="2:3" x14ac:dyDescent="0.3">
      <c r="B24" s="289" t="s">
        <v>147</v>
      </c>
      <c r="C24" s="297">
        <v>-1278377.54</v>
      </c>
    </row>
    <row r="25" spans="2:3" x14ac:dyDescent="0.3">
      <c r="B25" s="289" t="s">
        <v>149</v>
      </c>
      <c r="C25" s="297">
        <v>7379055</v>
      </c>
    </row>
    <row r="26" spans="2:3" x14ac:dyDescent="0.3">
      <c r="B26" s="289" t="s">
        <v>150</v>
      </c>
      <c r="C26" s="297">
        <v>28393</v>
      </c>
    </row>
    <row r="27" spans="2:3" x14ac:dyDescent="0.3">
      <c r="B27" s="289"/>
      <c r="C27" s="297"/>
    </row>
    <row r="28" spans="2:3" ht="26" x14ac:dyDescent="0.3">
      <c r="B28" s="290" t="s">
        <v>372</v>
      </c>
      <c r="C28" s="296">
        <f>SUM(C29:C37)</f>
        <v>2027144.08</v>
      </c>
    </row>
    <row r="29" spans="2:3" x14ac:dyDescent="0.3">
      <c r="B29" s="289" t="s">
        <v>151</v>
      </c>
      <c r="C29" s="297">
        <v>6354</v>
      </c>
    </row>
    <row r="30" spans="2:3" x14ac:dyDescent="0.3">
      <c r="B30" s="289" t="s">
        <v>152</v>
      </c>
      <c r="C30" s="297">
        <v>35720</v>
      </c>
    </row>
    <row r="31" spans="2:3" ht="26" x14ac:dyDescent="0.3">
      <c r="B31" s="291" t="s">
        <v>559</v>
      </c>
      <c r="C31" s="297">
        <v>436555.08</v>
      </c>
    </row>
    <row r="32" spans="2:3" x14ac:dyDescent="0.3">
      <c r="B32" s="289" t="s">
        <v>277</v>
      </c>
      <c r="C32" s="297">
        <v>7993.32</v>
      </c>
    </row>
    <row r="33" spans="2:3" x14ac:dyDescent="0.3">
      <c r="B33" s="289" t="s">
        <v>153</v>
      </c>
      <c r="C33" s="297">
        <v>674135.16</v>
      </c>
    </row>
    <row r="34" spans="2:3" x14ac:dyDescent="0.3">
      <c r="B34" s="289" t="s">
        <v>154</v>
      </c>
      <c r="C34" s="297">
        <v>6000</v>
      </c>
    </row>
    <row r="35" spans="2:3" x14ac:dyDescent="0.3">
      <c r="B35" s="289" t="s">
        <v>279</v>
      </c>
      <c r="C35" s="297">
        <v>13710.37</v>
      </c>
    </row>
    <row r="36" spans="2:3" x14ac:dyDescent="0.3">
      <c r="B36" s="289" t="s">
        <v>180</v>
      </c>
      <c r="C36" s="297">
        <v>93537</v>
      </c>
    </row>
    <row r="37" spans="2:3" x14ac:dyDescent="0.3">
      <c r="B37" s="289" t="s">
        <v>155</v>
      </c>
      <c r="C37" s="297">
        <v>753139.15</v>
      </c>
    </row>
    <row r="38" spans="2:3" x14ac:dyDescent="0.3">
      <c r="B38" s="289"/>
      <c r="C38" s="297"/>
    </row>
    <row r="39" spans="2:3" x14ac:dyDescent="0.3">
      <c r="B39" s="288" t="s">
        <v>301</v>
      </c>
      <c r="C39" s="296">
        <f>SUM(C40:C41)</f>
        <v>151189.4</v>
      </c>
    </row>
    <row r="40" spans="2:3" x14ac:dyDescent="0.3">
      <c r="B40" s="289" t="s">
        <v>159</v>
      </c>
      <c r="C40" s="297">
        <v>100655.59</v>
      </c>
    </row>
    <row r="41" spans="2:3" x14ac:dyDescent="0.3">
      <c r="B41" s="289" t="s">
        <v>451</v>
      </c>
      <c r="C41" s="297">
        <v>50533.81</v>
      </c>
    </row>
    <row r="42" spans="2:3" x14ac:dyDescent="0.3">
      <c r="B42" s="289"/>
      <c r="C42" s="297"/>
    </row>
    <row r="43" spans="2:3" x14ac:dyDescent="0.3">
      <c r="B43" s="288" t="s">
        <v>373</v>
      </c>
      <c r="C43" s="296">
        <f>SUM(C44:C46)</f>
        <v>1982082.12</v>
      </c>
    </row>
    <row r="44" spans="2:3" x14ac:dyDescent="0.3">
      <c r="B44" s="289" t="s">
        <v>452</v>
      </c>
      <c r="C44" s="297">
        <v>1652054.32</v>
      </c>
    </row>
    <row r="45" spans="2:3" x14ac:dyDescent="0.3">
      <c r="B45" s="292" t="s">
        <v>373</v>
      </c>
      <c r="C45" s="297">
        <v>230288.8</v>
      </c>
    </row>
    <row r="46" spans="2:3" x14ac:dyDescent="0.3">
      <c r="B46" s="289" t="s">
        <v>332</v>
      </c>
      <c r="C46" s="297">
        <v>99739</v>
      </c>
    </row>
    <row r="47" spans="2:3" x14ac:dyDescent="0.3">
      <c r="B47" s="289"/>
      <c r="C47" s="297"/>
    </row>
    <row r="48" spans="2:3" ht="26" x14ac:dyDescent="0.3">
      <c r="B48" s="290" t="s">
        <v>374</v>
      </c>
      <c r="C48" s="296">
        <f>SUM(C49:C70)</f>
        <v>7213339.4299999988</v>
      </c>
    </row>
    <row r="49" spans="2:3" x14ac:dyDescent="0.3">
      <c r="B49" s="289" t="s">
        <v>182</v>
      </c>
      <c r="C49" s="297">
        <v>1499</v>
      </c>
    </row>
    <row r="50" spans="2:3" x14ac:dyDescent="0.3">
      <c r="B50" s="289" t="s">
        <v>156</v>
      </c>
      <c r="C50" s="297">
        <v>16236</v>
      </c>
    </row>
    <row r="51" spans="2:3" x14ac:dyDescent="0.3">
      <c r="B51" s="289" t="s">
        <v>325</v>
      </c>
      <c r="C51" s="297">
        <v>43220</v>
      </c>
    </row>
    <row r="52" spans="2:3" x14ac:dyDescent="0.3">
      <c r="B52" s="289" t="s">
        <v>157</v>
      </c>
      <c r="C52" s="297">
        <v>1005189.38</v>
      </c>
    </row>
    <row r="53" spans="2:3" x14ac:dyDescent="0.3">
      <c r="B53" s="289" t="s">
        <v>158</v>
      </c>
      <c r="C53" s="297">
        <v>63509.37</v>
      </c>
    </row>
    <row r="54" spans="2:3" x14ac:dyDescent="0.3">
      <c r="B54" s="289" t="s">
        <v>184</v>
      </c>
      <c r="C54" s="297">
        <v>63277.48</v>
      </c>
    </row>
    <row r="55" spans="2:3" x14ac:dyDescent="0.3">
      <c r="B55" s="292" t="s">
        <v>21</v>
      </c>
      <c r="C55" s="297">
        <v>27176.92</v>
      </c>
    </row>
    <row r="56" spans="2:3" x14ac:dyDescent="0.3">
      <c r="B56" s="289" t="s">
        <v>302</v>
      </c>
      <c r="C56" s="297">
        <v>10955</v>
      </c>
    </row>
    <row r="57" spans="2:3" x14ac:dyDescent="0.3">
      <c r="B57" s="289" t="s">
        <v>88</v>
      </c>
      <c r="C57" s="297">
        <v>41976.23</v>
      </c>
    </row>
    <row r="58" spans="2:3" x14ac:dyDescent="0.3">
      <c r="B58" s="289" t="s">
        <v>160</v>
      </c>
      <c r="C58" s="297">
        <v>283995.61</v>
      </c>
    </row>
    <row r="59" spans="2:3" x14ac:dyDescent="0.3">
      <c r="B59" s="289" t="s">
        <v>161</v>
      </c>
      <c r="C59" s="297">
        <v>8220.34</v>
      </c>
    </row>
    <row r="60" spans="2:3" x14ac:dyDescent="0.3">
      <c r="B60" s="289" t="s">
        <v>104</v>
      </c>
      <c r="C60" s="297">
        <v>900</v>
      </c>
    </row>
    <row r="61" spans="2:3" x14ac:dyDescent="0.3">
      <c r="B61" s="289" t="s">
        <v>187</v>
      </c>
      <c r="C61" s="297">
        <v>75000</v>
      </c>
    </row>
    <row r="62" spans="2:3" x14ac:dyDescent="0.3">
      <c r="B62" s="289" t="s">
        <v>162</v>
      </c>
      <c r="C62" s="297">
        <v>2639750</v>
      </c>
    </row>
    <row r="63" spans="2:3" x14ac:dyDescent="0.3">
      <c r="B63" s="292" t="s">
        <v>453</v>
      </c>
      <c r="C63" s="297">
        <v>-3602.11</v>
      </c>
    </row>
    <row r="64" spans="2:3" x14ac:dyDescent="0.3">
      <c r="B64" s="289" t="s">
        <v>163</v>
      </c>
      <c r="C64" s="297">
        <v>2472375</v>
      </c>
    </row>
    <row r="65" spans="2:3" x14ac:dyDescent="0.3">
      <c r="B65" s="289" t="s">
        <v>164</v>
      </c>
      <c r="C65" s="297">
        <v>2054.7199999999998</v>
      </c>
    </row>
    <row r="66" spans="2:3" x14ac:dyDescent="0.3">
      <c r="B66" s="289" t="s">
        <v>165</v>
      </c>
      <c r="C66" s="297">
        <v>52151.91</v>
      </c>
    </row>
    <row r="67" spans="2:3" x14ac:dyDescent="0.3">
      <c r="B67" s="289" t="s">
        <v>454</v>
      </c>
      <c r="C67" s="297">
        <v>179915.66</v>
      </c>
    </row>
    <row r="68" spans="2:3" x14ac:dyDescent="0.3">
      <c r="B68" s="289" t="s">
        <v>188</v>
      </c>
      <c r="C68" s="297">
        <v>25210.93</v>
      </c>
    </row>
    <row r="69" spans="2:3" x14ac:dyDescent="0.3">
      <c r="B69" s="289" t="s">
        <v>167</v>
      </c>
      <c r="C69" s="297">
        <v>179955.72</v>
      </c>
    </row>
    <row r="70" spans="2:3" ht="26" x14ac:dyDescent="0.3">
      <c r="B70" s="291" t="s">
        <v>560</v>
      </c>
      <c r="C70" s="297">
        <v>24372.27</v>
      </c>
    </row>
    <row r="71" spans="2:3" x14ac:dyDescent="0.3">
      <c r="B71" s="291"/>
      <c r="C71" s="297"/>
    </row>
    <row r="72" spans="2:3" ht="26" x14ac:dyDescent="0.3">
      <c r="B72" s="290" t="s">
        <v>375</v>
      </c>
      <c r="C72" s="296">
        <f>SUM(C73:C79)</f>
        <v>2399256.3199999998</v>
      </c>
    </row>
    <row r="73" spans="2:3" x14ac:dyDescent="0.3">
      <c r="B73" s="289" t="s">
        <v>168</v>
      </c>
      <c r="C73" s="297">
        <v>881679</v>
      </c>
    </row>
    <row r="74" spans="2:3" ht="26" x14ac:dyDescent="0.3">
      <c r="B74" s="291" t="s">
        <v>561</v>
      </c>
      <c r="C74" s="297">
        <v>1682.32</v>
      </c>
    </row>
    <row r="75" spans="2:3" x14ac:dyDescent="0.3">
      <c r="B75" s="289" t="s">
        <v>169</v>
      </c>
      <c r="C75" s="297">
        <v>145478</v>
      </c>
    </row>
    <row r="76" spans="2:3" x14ac:dyDescent="0.3">
      <c r="B76" s="289" t="s">
        <v>170</v>
      </c>
      <c r="C76" s="297">
        <v>5500</v>
      </c>
    </row>
    <row r="77" spans="2:3" x14ac:dyDescent="0.3">
      <c r="B77" s="289" t="s">
        <v>171</v>
      </c>
      <c r="C77" s="297">
        <v>18250</v>
      </c>
    </row>
    <row r="78" spans="2:3" x14ac:dyDescent="0.3">
      <c r="B78" s="289" t="s">
        <v>172</v>
      </c>
      <c r="C78" s="297">
        <v>908175</v>
      </c>
    </row>
    <row r="79" spans="2:3" x14ac:dyDescent="0.3">
      <c r="B79" s="289" t="s">
        <v>173</v>
      </c>
      <c r="C79" s="297">
        <v>438492</v>
      </c>
    </row>
    <row r="80" spans="2:3" x14ac:dyDescent="0.3">
      <c r="B80" s="289"/>
      <c r="C80" s="297"/>
    </row>
    <row r="81" spans="2:3" x14ac:dyDescent="0.3">
      <c r="B81" s="288" t="s">
        <v>554</v>
      </c>
      <c r="C81" s="296">
        <f>SUM(C82:C84)</f>
        <v>24700</v>
      </c>
    </row>
    <row r="82" spans="2:3" x14ac:dyDescent="0.3">
      <c r="B82" s="289" t="s">
        <v>562</v>
      </c>
      <c r="C82" s="297">
        <v>9262.5</v>
      </c>
    </row>
    <row r="83" spans="2:3" x14ac:dyDescent="0.3">
      <c r="B83" s="289" t="s">
        <v>563</v>
      </c>
      <c r="C83" s="297">
        <v>12350</v>
      </c>
    </row>
    <row r="84" spans="2:3" x14ac:dyDescent="0.3">
      <c r="B84" s="289" t="s">
        <v>564</v>
      </c>
      <c r="C84" s="297">
        <v>3087.5</v>
      </c>
    </row>
    <row r="85" spans="2:3" x14ac:dyDescent="0.3">
      <c r="B85" s="289"/>
      <c r="C85" s="297"/>
    </row>
    <row r="86" spans="2:3" x14ac:dyDescent="0.3">
      <c r="B86" s="288" t="s">
        <v>376</v>
      </c>
      <c r="C86" s="296">
        <v>10796653.1</v>
      </c>
    </row>
    <row r="87" spans="2:3" x14ac:dyDescent="0.3">
      <c r="B87" s="289" t="s">
        <v>303</v>
      </c>
      <c r="C87" s="297">
        <v>10796653.1</v>
      </c>
    </row>
    <row r="88" spans="2:3" x14ac:dyDescent="0.3">
      <c r="B88" s="289"/>
      <c r="C88" s="297"/>
    </row>
    <row r="89" spans="2:3" ht="26" x14ac:dyDescent="0.3">
      <c r="B89" s="290" t="s">
        <v>377</v>
      </c>
      <c r="C89" s="296">
        <f>SUM(C90:C96)</f>
        <v>1123333.92</v>
      </c>
    </row>
    <row r="90" spans="2:3" x14ac:dyDescent="0.3">
      <c r="B90" s="289" t="s">
        <v>174</v>
      </c>
      <c r="C90" s="297">
        <v>631664</v>
      </c>
    </row>
    <row r="91" spans="2:3" x14ac:dyDescent="0.3">
      <c r="B91" s="289" t="s">
        <v>175</v>
      </c>
      <c r="C91" s="297">
        <v>218</v>
      </c>
    </row>
    <row r="92" spans="2:3" x14ac:dyDescent="0.3">
      <c r="B92" s="289" t="s">
        <v>176</v>
      </c>
      <c r="C92" s="297">
        <v>202653</v>
      </c>
    </row>
    <row r="93" spans="2:3" x14ac:dyDescent="0.3">
      <c r="B93" s="289" t="s">
        <v>280</v>
      </c>
      <c r="C93" s="297">
        <v>3016</v>
      </c>
    </row>
    <row r="94" spans="2:3" x14ac:dyDescent="0.3">
      <c r="B94" s="289" t="s">
        <v>148</v>
      </c>
      <c r="C94" s="297">
        <v>7073.5</v>
      </c>
    </row>
    <row r="95" spans="2:3" x14ac:dyDescent="0.3">
      <c r="B95" s="289" t="s">
        <v>177</v>
      </c>
      <c r="C95" s="297">
        <v>221188.86</v>
      </c>
    </row>
    <row r="96" spans="2:3" x14ac:dyDescent="0.3">
      <c r="B96" s="289" t="s">
        <v>179</v>
      </c>
      <c r="C96" s="297">
        <v>57520.56</v>
      </c>
    </row>
    <row r="97" spans="2:3" x14ac:dyDescent="0.3">
      <c r="B97" s="289"/>
      <c r="C97" s="297"/>
    </row>
    <row r="98" spans="2:3" ht="26" x14ac:dyDescent="0.3">
      <c r="B98" s="290" t="s">
        <v>378</v>
      </c>
      <c r="C98" s="296">
        <v>73509.850000000006</v>
      </c>
    </row>
    <row r="99" spans="2:3" x14ac:dyDescent="0.3">
      <c r="B99" s="289" t="s">
        <v>181</v>
      </c>
      <c r="C99" s="297">
        <v>73509.850000000006</v>
      </c>
    </row>
    <row r="100" spans="2:3" x14ac:dyDescent="0.3">
      <c r="B100" s="289"/>
      <c r="C100" s="297"/>
    </row>
    <row r="101" spans="2:3" ht="26" x14ac:dyDescent="0.3">
      <c r="B101" s="290" t="s">
        <v>569</v>
      </c>
      <c r="C101" s="297">
        <f>SUM(C102:C141)</f>
        <v>5660711.25</v>
      </c>
    </row>
    <row r="102" spans="2:3" x14ac:dyDescent="0.3">
      <c r="B102" s="289" t="s">
        <v>358</v>
      </c>
      <c r="C102" s="298">
        <v>98938.61</v>
      </c>
    </row>
    <row r="103" spans="2:3" x14ac:dyDescent="0.3">
      <c r="B103" s="289" t="s">
        <v>541</v>
      </c>
      <c r="C103" s="298">
        <v>29000</v>
      </c>
    </row>
    <row r="104" spans="2:3" x14ac:dyDescent="0.3">
      <c r="B104" s="289" t="s">
        <v>359</v>
      </c>
      <c r="C104" s="298">
        <v>17816</v>
      </c>
    </row>
    <row r="105" spans="2:3" x14ac:dyDescent="0.3">
      <c r="B105" s="289" t="s">
        <v>542</v>
      </c>
      <c r="C105" s="298">
        <v>119850</v>
      </c>
    </row>
    <row r="106" spans="2:3" x14ac:dyDescent="0.3">
      <c r="B106" s="289" t="s">
        <v>304</v>
      </c>
      <c r="C106" s="298">
        <v>7450</v>
      </c>
    </row>
    <row r="107" spans="2:3" x14ac:dyDescent="0.3">
      <c r="B107" s="289" t="s">
        <v>565</v>
      </c>
      <c r="C107" s="298">
        <v>100668</v>
      </c>
    </row>
    <row r="108" spans="2:3" x14ac:dyDescent="0.3">
      <c r="B108" s="289" t="s">
        <v>379</v>
      </c>
      <c r="C108" s="298">
        <v>1902.47</v>
      </c>
    </row>
    <row r="109" spans="2:3" x14ac:dyDescent="0.3">
      <c r="B109" s="289" t="s">
        <v>360</v>
      </c>
      <c r="C109" s="298">
        <v>2364.1799999999998</v>
      </c>
    </row>
    <row r="110" spans="2:3" x14ac:dyDescent="0.3">
      <c r="B110" s="289" t="s">
        <v>361</v>
      </c>
      <c r="C110" s="298">
        <v>2999</v>
      </c>
    </row>
    <row r="111" spans="2:3" x14ac:dyDescent="0.3">
      <c r="B111" s="289" t="s">
        <v>362</v>
      </c>
      <c r="C111" s="298">
        <v>3210</v>
      </c>
    </row>
    <row r="112" spans="2:3" x14ac:dyDescent="0.3">
      <c r="B112" s="289" t="s">
        <v>543</v>
      </c>
      <c r="C112" s="298">
        <v>1589</v>
      </c>
    </row>
    <row r="113" spans="2:3" x14ac:dyDescent="0.3">
      <c r="B113" s="289" t="s">
        <v>380</v>
      </c>
      <c r="C113" s="298">
        <v>119200</v>
      </c>
    </row>
    <row r="114" spans="2:3" x14ac:dyDescent="0.3">
      <c r="B114" s="289" t="s">
        <v>566</v>
      </c>
      <c r="C114" s="298">
        <v>15000</v>
      </c>
    </row>
    <row r="115" spans="2:3" x14ac:dyDescent="0.3">
      <c r="B115" s="289" t="s">
        <v>567</v>
      </c>
      <c r="C115" s="298">
        <v>2832.54</v>
      </c>
    </row>
    <row r="116" spans="2:3" x14ac:dyDescent="0.3">
      <c r="B116" s="289" t="s">
        <v>363</v>
      </c>
      <c r="C116" s="298">
        <v>38840</v>
      </c>
    </row>
    <row r="117" spans="2:3" x14ac:dyDescent="0.3">
      <c r="B117" s="289" t="s">
        <v>364</v>
      </c>
      <c r="C117" s="298">
        <v>11237</v>
      </c>
    </row>
    <row r="118" spans="2:3" x14ac:dyDescent="0.3">
      <c r="B118" s="289" t="s">
        <v>278</v>
      </c>
      <c r="C118" s="298">
        <v>1773.72</v>
      </c>
    </row>
    <row r="119" spans="2:3" x14ac:dyDescent="0.3">
      <c r="B119" s="289" t="s">
        <v>365</v>
      </c>
      <c r="C119" s="298">
        <v>331</v>
      </c>
    </row>
    <row r="120" spans="2:3" x14ac:dyDescent="0.3">
      <c r="B120" s="289" t="s">
        <v>381</v>
      </c>
      <c r="C120" s="298">
        <v>70868.259999999995</v>
      </c>
    </row>
    <row r="121" spans="2:3" x14ac:dyDescent="0.3">
      <c r="B121" s="289" t="s">
        <v>544</v>
      </c>
      <c r="C121" s="298">
        <v>2571905</v>
      </c>
    </row>
    <row r="122" spans="2:3" x14ac:dyDescent="0.3">
      <c r="B122" s="289" t="s">
        <v>545</v>
      </c>
      <c r="C122" s="298">
        <v>108023</v>
      </c>
    </row>
    <row r="123" spans="2:3" x14ac:dyDescent="0.3">
      <c r="B123" s="289" t="s">
        <v>281</v>
      </c>
      <c r="C123" s="298">
        <v>20000</v>
      </c>
    </row>
    <row r="124" spans="2:3" x14ac:dyDescent="0.3">
      <c r="B124" s="289" t="s">
        <v>382</v>
      </c>
      <c r="C124" s="298">
        <v>21700</v>
      </c>
    </row>
    <row r="125" spans="2:3" x14ac:dyDescent="0.3">
      <c r="B125" s="289" t="s">
        <v>568</v>
      </c>
      <c r="C125" s="298">
        <v>103621</v>
      </c>
    </row>
    <row r="126" spans="2:3" x14ac:dyDescent="0.3">
      <c r="B126" s="289" t="s">
        <v>185</v>
      </c>
      <c r="C126" s="298">
        <v>80000</v>
      </c>
    </row>
    <row r="127" spans="2:3" x14ac:dyDescent="0.3">
      <c r="B127" s="289" t="s">
        <v>331</v>
      </c>
      <c r="C127" s="298">
        <v>52864</v>
      </c>
    </row>
    <row r="128" spans="2:3" x14ac:dyDescent="0.3">
      <c r="B128" s="289" t="s">
        <v>366</v>
      </c>
      <c r="C128" s="298">
        <v>39700</v>
      </c>
    </row>
    <row r="129" spans="2:3" x14ac:dyDescent="0.3">
      <c r="B129" s="289" t="s">
        <v>383</v>
      </c>
      <c r="C129" s="298">
        <v>31630</v>
      </c>
    </row>
    <row r="130" spans="2:3" x14ac:dyDescent="0.3">
      <c r="B130" s="289" t="s">
        <v>546</v>
      </c>
      <c r="C130" s="298">
        <v>169668.63</v>
      </c>
    </row>
    <row r="131" spans="2:3" x14ac:dyDescent="0.3">
      <c r="B131" s="289" t="s">
        <v>367</v>
      </c>
      <c r="C131" s="298">
        <v>24000</v>
      </c>
    </row>
    <row r="132" spans="2:3" x14ac:dyDescent="0.3">
      <c r="B132" s="289" t="s">
        <v>282</v>
      </c>
      <c r="C132" s="298">
        <v>539456.92000000004</v>
      </c>
    </row>
    <row r="133" spans="2:3" x14ac:dyDescent="0.3">
      <c r="B133" s="289" t="s">
        <v>341</v>
      </c>
      <c r="C133" s="298">
        <v>17000</v>
      </c>
    </row>
    <row r="134" spans="2:3" x14ac:dyDescent="0.3">
      <c r="B134" s="289" t="s">
        <v>368</v>
      </c>
      <c r="C134" s="298">
        <v>4000</v>
      </c>
    </row>
    <row r="135" spans="2:3" x14ac:dyDescent="0.3">
      <c r="B135" s="289" t="s">
        <v>178</v>
      </c>
      <c r="C135" s="298">
        <v>3000</v>
      </c>
    </row>
    <row r="136" spans="2:3" x14ac:dyDescent="0.3">
      <c r="B136" s="289" t="s">
        <v>283</v>
      </c>
      <c r="C136" s="298">
        <v>50423.83</v>
      </c>
    </row>
    <row r="137" spans="2:3" x14ac:dyDescent="0.3">
      <c r="B137" s="289" t="s">
        <v>384</v>
      </c>
      <c r="C137" s="298">
        <v>607184.87</v>
      </c>
    </row>
    <row r="138" spans="2:3" x14ac:dyDescent="0.3">
      <c r="B138" s="289" t="s">
        <v>385</v>
      </c>
      <c r="C138" s="298">
        <v>556871.34</v>
      </c>
    </row>
    <row r="139" spans="2:3" x14ac:dyDescent="0.3">
      <c r="B139" s="289" t="s">
        <v>386</v>
      </c>
      <c r="C139" s="298">
        <v>-23659.15</v>
      </c>
    </row>
    <row r="140" spans="2:3" x14ac:dyDescent="0.3">
      <c r="B140" s="289" t="s">
        <v>369</v>
      </c>
      <c r="C140" s="298">
        <v>33630</v>
      </c>
    </row>
    <row r="141" spans="2:3" x14ac:dyDescent="0.3">
      <c r="B141" s="289" t="s">
        <v>284</v>
      </c>
      <c r="C141" s="298">
        <v>3822.03</v>
      </c>
    </row>
    <row r="142" spans="2:3" x14ac:dyDescent="0.3">
      <c r="B142" s="293"/>
      <c r="C142" s="298"/>
    </row>
    <row r="143" spans="2:3" x14ac:dyDescent="0.3">
      <c r="B143" s="288" t="s">
        <v>95</v>
      </c>
      <c r="C143" s="296">
        <f>C101+C98+C89+C86+C81+C72+C48+C43+C39+C28+C20+C17+C13+C10+C5</f>
        <v>37913500.93</v>
      </c>
    </row>
    <row r="144" spans="2:3" x14ac:dyDescent="0.3">
      <c r="B144" s="294"/>
      <c r="C144" s="295"/>
    </row>
  </sheetData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8EEF-3029-4A85-9F82-5FF84A1DEFAD}">
  <dimension ref="B1:G94"/>
  <sheetViews>
    <sheetView workbookViewId="0">
      <selection activeCell="C1" sqref="C1"/>
    </sheetView>
  </sheetViews>
  <sheetFormatPr defaultColWidth="8.90625" defaultRowHeight="13" x14ac:dyDescent="0.3"/>
  <cols>
    <col min="1" max="1" width="8.90625" style="269"/>
    <col min="2" max="2" width="48.90625" style="269" bestFit="1" customWidth="1"/>
    <col min="3" max="3" width="16" style="318" bestFit="1" customWidth="1"/>
    <col min="4" max="4" width="10.54296875" style="269" bestFit="1" customWidth="1"/>
    <col min="5" max="5" width="13.90625" style="269" bestFit="1" customWidth="1"/>
    <col min="6" max="6" width="11" style="269" bestFit="1" customWidth="1"/>
    <col min="7" max="16384" width="8.90625" style="269"/>
  </cols>
  <sheetData>
    <row r="1" spans="2:3" x14ac:dyDescent="0.3">
      <c r="B1" s="286" t="s">
        <v>459</v>
      </c>
      <c r="C1" s="287" t="s">
        <v>2</v>
      </c>
    </row>
    <row r="2" spans="2:3" s="306" customFormat="1" x14ac:dyDescent="0.3">
      <c r="B2" s="299" t="s">
        <v>139</v>
      </c>
      <c r="C2" s="305">
        <f>SUM(C3:C5)</f>
        <v>14817.2</v>
      </c>
    </row>
    <row r="3" spans="2:3" s="306" customFormat="1" x14ac:dyDescent="0.3">
      <c r="B3" s="289" t="s">
        <v>316</v>
      </c>
      <c r="C3" s="307">
        <v>7727</v>
      </c>
    </row>
    <row r="4" spans="2:3" s="306" customFormat="1" x14ac:dyDescent="0.3">
      <c r="B4" s="289" t="s">
        <v>317</v>
      </c>
      <c r="C4" s="307">
        <v>1992.86</v>
      </c>
    </row>
    <row r="5" spans="2:3" s="306" customFormat="1" x14ac:dyDescent="0.3">
      <c r="B5" s="289" t="s">
        <v>217</v>
      </c>
      <c r="C5" s="307">
        <v>5097.34</v>
      </c>
    </row>
    <row r="6" spans="2:3" s="306" customFormat="1" x14ac:dyDescent="0.3">
      <c r="B6" s="300"/>
      <c r="C6" s="308"/>
    </row>
    <row r="7" spans="2:3" s="306" customFormat="1" x14ac:dyDescent="0.3">
      <c r="B7" s="299" t="s">
        <v>20</v>
      </c>
      <c r="C7" s="305">
        <f>SUM(C8:C9)</f>
        <v>42713.86</v>
      </c>
    </row>
    <row r="8" spans="2:3" s="306" customFormat="1" x14ac:dyDescent="0.3">
      <c r="B8" s="289" t="s">
        <v>20</v>
      </c>
      <c r="C8" s="307">
        <v>42713.86</v>
      </c>
    </row>
    <row r="9" spans="2:3" s="306" customFormat="1" x14ac:dyDescent="0.3">
      <c r="B9" s="300"/>
      <c r="C9" s="308"/>
    </row>
    <row r="10" spans="2:3" s="306" customFormat="1" x14ac:dyDescent="0.3">
      <c r="B10" s="299" t="s">
        <v>247</v>
      </c>
      <c r="C10" s="305">
        <f>SUM(C11:C13)</f>
        <v>29781.74</v>
      </c>
    </row>
    <row r="11" spans="2:3" s="306" customFormat="1" x14ac:dyDescent="0.3">
      <c r="B11" s="289" t="s">
        <v>207</v>
      </c>
      <c r="C11" s="307">
        <v>3928.54</v>
      </c>
    </row>
    <row r="12" spans="2:3" s="306" customFormat="1" x14ac:dyDescent="0.3">
      <c r="B12" s="289" t="s">
        <v>23</v>
      </c>
      <c r="C12" s="307">
        <v>25853.200000000001</v>
      </c>
    </row>
    <row r="13" spans="2:3" s="306" customFormat="1" x14ac:dyDescent="0.3">
      <c r="B13" s="301"/>
      <c r="C13" s="308"/>
    </row>
    <row r="14" spans="2:3" s="306" customFormat="1" x14ac:dyDescent="0.3">
      <c r="B14" s="299" t="s">
        <v>306</v>
      </c>
      <c r="C14" s="305">
        <f>SUM(C15:C19)</f>
        <v>688465.85</v>
      </c>
    </row>
    <row r="15" spans="2:3" s="306" customFormat="1" x14ac:dyDescent="0.3">
      <c r="B15" s="289" t="s">
        <v>146</v>
      </c>
      <c r="C15" s="307">
        <v>19141.849999999999</v>
      </c>
    </row>
    <row r="16" spans="2:3" s="306" customFormat="1" x14ac:dyDescent="0.3">
      <c r="B16" s="289" t="s">
        <v>204</v>
      </c>
      <c r="C16" s="307">
        <v>10000</v>
      </c>
    </row>
    <row r="17" spans="2:3" s="306" customFormat="1" x14ac:dyDescent="0.3">
      <c r="B17" s="289" t="s">
        <v>170</v>
      </c>
      <c r="C17" s="307">
        <v>5000</v>
      </c>
    </row>
    <row r="18" spans="2:3" s="306" customFormat="1" x14ac:dyDescent="0.3">
      <c r="B18" s="289" t="s">
        <v>222</v>
      </c>
      <c r="C18" s="307">
        <v>654324</v>
      </c>
    </row>
    <row r="19" spans="2:3" s="306" customFormat="1" x14ac:dyDescent="0.3">
      <c r="B19" s="301"/>
      <c r="C19" s="308"/>
    </row>
    <row r="20" spans="2:3" s="306" customFormat="1" x14ac:dyDescent="0.3">
      <c r="B20" s="299" t="s">
        <v>248</v>
      </c>
      <c r="C20" s="305">
        <f>SUM(C21:C25)</f>
        <v>205858.74</v>
      </c>
    </row>
    <row r="21" spans="2:3" s="306" customFormat="1" x14ac:dyDescent="0.3">
      <c r="B21" s="289" t="s">
        <v>200</v>
      </c>
      <c r="C21" s="307">
        <v>116055</v>
      </c>
    </row>
    <row r="22" spans="2:3" s="306" customFormat="1" x14ac:dyDescent="0.3">
      <c r="B22" s="289" t="s">
        <v>147</v>
      </c>
      <c r="C22" s="307">
        <v>3707.74</v>
      </c>
    </row>
    <row r="23" spans="2:3" s="306" customFormat="1" x14ac:dyDescent="0.3">
      <c r="B23" s="289" t="s">
        <v>208</v>
      </c>
      <c r="C23" s="307">
        <v>196</v>
      </c>
    </row>
    <row r="24" spans="2:3" s="306" customFormat="1" x14ac:dyDescent="0.3">
      <c r="B24" s="289" t="s">
        <v>211</v>
      </c>
      <c r="C24" s="307">
        <v>900</v>
      </c>
    </row>
    <row r="25" spans="2:3" s="306" customFormat="1" x14ac:dyDescent="0.3">
      <c r="B25" s="289" t="s">
        <v>227</v>
      </c>
      <c r="C25" s="307">
        <v>85000</v>
      </c>
    </row>
    <row r="26" spans="2:3" s="306" customFormat="1" x14ac:dyDescent="0.3">
      <c r="B26" s="300"/>
      <c r="C26" s="308"/>
    </row>
    <row r="27" spans="2:3" s="306" customFormat="1" x14ac:dyDescent="0.3">
      <c r="B27" s="299" t="s">
        <v>307</v>
      </c>
      <c r="C27" s="305">
        <f>SUM(C28:C30)</f>
        <v>703282.36</v>
      </c>
    </row>
    <row r="28" spans="2:3" s="306" customFormat="1" x14ac:dyDescent="0.3">
      <c r="B28" s="289" t="s">
        <v>220</v>
      </c>
      <c r="C28" s="307">
        <v>543282.36</v>
      </c>
    </row>
    <row r="29" spans="2:3" s="306" customFormat="1" x14ac:dyDescent="0.3">
      <c r="B29" s="289" t="s">
        <v>162</v>
      </c>
      <c r="C29" s="307">
        <v>160000</v>
      </c>
    </row>
    <row r="30" spans="2:3" s="306" customFormat="1" x14ac:dyDescent="0.3">
      <c r="B30" s="300"/>
      <c r="C30" s="308"/>
    </row>
    <row r="31" spans="2:3" s="306" customFormat="1" x14ac:dyDescent="0.3">
      <c r="B31" s="299" t="s">
        <v>301</v>
      </c>
      <c r="C31" s="305">
        <f>SUM(C32:C32)</f>
        <v>25219</v>
      </c>
    </row>
    <row r="32" spans="2:3" s="306" customFormat="1" x14ac:dyDescent="0.3">
      <c r="B32" s="289" t="s">
        <v>159</v>
      </c>
      <c r="C32" s="307">
        <v>25219</v>
      </c>
    </row>
    <row r="33" spans="2:7" s="306" customFormat="1" x14ac:dyDescent="0.3">
      <c r="B33" s="301"/>
      <c r="C33" s="308"/>
    </row>
    <row r="34" spans="2:7" s="306" customFormat="1" x14ac:dyDescent="0.3">
      <c r="B34" s="299" t="s">
        <v>160</v>
      </c>
      <c r="C34" s="305">
        <f>SUM(C35:C42)</f>
        <v>312473.10000000003</v>
      </c>
    </row>
    <row r="35" spans="2:7" s="306" customFormat="1" x14ac:dyDescent="0.3">
      <c r="B35" s="289" t="s">
        <v>205</v>
      </c>
      <c r="C35" s="307">
        <v>7711.88</v>
      </c>
    </row>
    <row r="36" spans="2:7" s="306" customFormat="1" x14ac:dyDescent="0.3">
      <c r="B36" s="289" t="s">
        <v>215</v>
      </c>
      <c r="C36" s="307">
        <v>2541.5300000000002</v>
      </c>
    </row>
    <row r="37" spans="2:7" s="306" customFormat="1" x14ac:dyDescent="0.3">
      <c r="B37" s="289" t="s">
        <v>189</v>
      </c>
      <c r="C37" s="307">
        <v>10590.48</v>
      </c>
    </row>
    <row r="38" spans="2:7" s="306" customFormat="1" x14ac:dyDescent="0.3">
      <c r="B38" s="289" t="s">
        <v>88</v>
      </c>
      <c r="C38" s="307">
        <v>51585.23</v>
      </c>
    </row>
    <row r="39" spans="2:7" s="306" customFormat="1" x14ac:dyDescent="0.3">
      <c r="B39" s="289" t="s">
        <v>160</v>
      </c>
      <c r="C39" s="307">
        <v>143398.18</v>
      </c>
    </row>
    <row r="40" spans="2:7" s="306" customFormat="1" x14ac:dyDescent="0.3">
      <c r="B40" s="289" t="s">
        <v>190</v>
      </c>
      <c r="C40" s="307">
        <v>13644.64</v>
      </c>
    </row>
    <row r="41" spans="2:7" s="306" customFormat="1" x14ac:dyDescent="0.3">
      <c r="B41" s="289" t="s">
        <v>191</v>
      </c>
      <c r="C41" s="307">
        <v>79568.960000000006</v>
      </c>
    </row>
    <row r="42" spans="2:7" s="306" customFormat="1" x14ac:dyDescent="0.3">
      <c r="B42" s="289" t="s">
        <v>216</v>
      </c>
      <c r="C42" s="307">
        <v>3432.2</v>
      </c>
    </row>
    <row r="43" spans="2:7" s="306" customFormat="1" x14ac:dyDescent="0.3">
      <c r="B43" s="301"/>
      <c r="C43" s="308"/>
    </row>
    <row r="44" spans="2:7" s="306" customFormat="1" x14ac:dyDescent="0.3">
      <c r="B44" s="299" t="s">
        <v>249</v>
      </c>
      <c r="C44" s="305">
        <f>SUM(C45:C69)</f>
        <v>16378379.250000002</v>
      </c>
      <c r="E44" s="309"/>
      <c r="F44" s="310"/>
      <c r="G44" s="311"/>
    </row>
    <row r="45" spans="2:7" s="306" customFormat="1" x14ac:dyDescent="0.3">
      <c r="B45" s="289" t="s">
        <v>198</v>
      </c>
      <c r="C45" s="307">
        <v>1000</v>
      </c>
      <c r="E45" s="312"/>
      <c r="F45" s="313"/>
      <c r="G45" s="311"/>
    </row>
    <row r="46" spans="2:7" s="306" customFormat="1" x14ac:dyDescent="0.3">
      <c r="B46" s="289" t="s">
        <v>199</v>
      </c>
      <c r="C46" s="307">
        <v>1178.72</v>
      </c>
      <c r="E46" s="312"/>
      <c r="F46" s="313"/>
      <c r="G46" s="311"/>
    </row>
    <row r="47" spans="2:7" s="306" customFormat="1" x14ac:dyDescent="0.3">
      <c r="B47" s="289" t="s">
        <v>201</v>
      </c>
      <c r="C47" s="307">
        <v>1499</v>
      </c>
      <c r="E47" s="312"/>
      <c r="F47" s="313"/>
      <c r="G47" s="311"/>
    </row>
    <row r="48" spans="2:7" s="306" customFormat="1" x14ac:dyDescent="0.3">
      <c r="B48" s="289" t="s">
        <v>202</v>
      </c>
      <c r="C48" s="307">
        <v>77961.259999999995</v>
      </c>
      <c r="E48" s="312"/>
      <c r="F48" s="313"/>
      <c r="G48" s="311"/>
    </row>
    <row r="49" spans="2:7" s="306" customFormat="1" x14ac:dyDescent="0.3">
      <c r="B49" s="289" t="s">
        <v>203</v>
      </c>
      <c r="C49" s="307">
        <v>127000</v>
      </c>
      <c r="E49" s="312"/>
      <c r="F49" s="313"/>
      <c r="G49" s="311"/>
    </row>
    <row r="50" spans="2:7" s="306" customFormat="1" x14ac:dyDescent="0.3">
      <c r="B50" s="289" t="s">
        <v>157</v>
      </c>
      <c r="C50" s="307">
        <v>35407</v>
      </c>
      <c r="E50" s="312"/>
      <c r="F50" s="313"/>
      <c r="G50" s="311"/>
    </row>
    <row r="51" spans="2:7" s="306" customFormat="1" x14ac:dyDescent="0.3">
      <c r="B51" s="289" t="s">
        <v>62</v>
      </c>
      <c r="C51" s="307">
        <v>14133.38</v>
      </c>
      <c r="E51" s="312"/>
      <c r="F51" s="313"/>
      <c r="G51" s="311"/>
    </row>
    <row r="52" spans="2:7" s="306" customFormat="1" x14ac:dyDescent="0.3">
      <c r="B52" s="289" t="s">
        <v>158</v>
      </c>
      <c r="C52" s="307">
        <v>139908.41</v>
      </c>
      <c r="E52" s="312"/>
      <c r="F52" s="313"/>
      <c r="G52" s="311"/>
    </row>
    <row r="53" spans="2:7" s="306" customFormat="1" x14ac:dyDescent="0.3">
      <c r="B53" s="289" t="s">
        <v>209</v>
      </c>
      <c r="C53" s="307">
        <v>45970.01</v>
      </c>
      <c r="E53" s="312"/>
      <c r="F53" s="313"/>
      <c r="G53" s="311"/>
    </row>
    <row r="54" spans="2:7" s="306" customFormat="1" x14ac:dyDescent="0.3">
      <c r="B54" s="289" t="s">
        <v>212</v>
      </c>
      <c r="C54" s="307">
        <v>40000</v>
      </c>
      <c r="E54" s="312"/>
      <c r="F54" s="313"/>
      <c r="G54" s="311"/>
    </row>
    <row r="55" spans="2:7" s="306" customFormat="1" x14ac:dyDescent="0.3">
      <c r="B55" s="289" t="s">
        <v>213</v>
      </c>
      <c r="C55" s="307">
        <v>3011</v>
      </c>
      <c r="E55" s="312"/>
      <c r="F55" s="313"/>
      <c r="G55" s="311"/>
    </row>
    <row r="56" spans="2:7" s="306" customFormat="1" x14ac:dyDescent="0.3">
      <c r="B56" s="289" t="s">
        <v>214</v>
      </c>
      <c r="C56" s="307">
        <v>15000</v>
      </c>
      <c r="E56" s="312"/>
      <c r="F56" s="313"/>
      <c r="G56" s="311"/>
    </row>
    <row r="57" spans="2:7" s="306" customFormat="1" x14ac:dyDescent="0.3">
      <c r="B57" s="289" t="s">
        <v>71</v>
      </c>
      <c r="C57" s="307">
        <v>6700</v>
      </c>
      <c r="E57" s="312"/>
      <c r="F57" s="313"/>
      <c r="G57" s="311"/>
    </row>
    <row r="58" spans="2:7" s="306" customFormat="1" x14ac:dyDescent="0.3">
      <c r="B58" s="289" t="s">
        <v>221</v>
      </c>
      <c r="C58" s="307">
        <v>16796.29</v>
      </c>
      <c r="E58" s="312"/>
      <c r="F58" s="313"/>
      <c r="G58" s="311"/>
    </row>
    <row r="59" spans="2:7" s="306" customFormat="1" x14ac:dyDescent="0.3">
      <c r="B59" s="289" t="s">
        <v>308</v>
      </c>
      <c r="C59" s="307">
        <v>-0.8</v>
      </c>
      <c r="E59" s="314"/>
      <c r="F59" s="315"/>
      <c r="G59" s="311"/>
    </row>
    <row r="60" spans="2:7" s="306" customFormat="1" x14ac:dyDescent="0.3">
      <c r="B60" s="289" t="s">
        <v>223</v>
      </c>
      <c r="C60" s="307">
        <v>93000</v>
      </c>
      <c r="E60" s="312"/>
      <c r="F60" s="313"/>
      <c r="G60" s="311"/>
    </row>
    <row r="61" spans="2:7" s="306" customFormat="1" x14ac:dyDescent="0.3">
      <c r="B61" s="289" t="s">
        <v>224</v>
      </c>
      <c r="C61" s="307">
        <v>381.96</v>
      </c>
      <c r="E61" s="312"/>
      <c r="F61" s="313"/>
      <c r="G61" s="311"/>
    </row>
    <row r="62" spans="2:7" s="306" customFormat="1" x14ac:dyDescent="0.3">
      <c r="B62" s="289" t="s">
        <v>165</v>
      </c>
      <c r="C62" s="307">
        <v>12526.85</v>
      </c>
      <c r="E62" s="312"/>
      <c r="F62" s="313"/>
      <c r="G62" s="311"/>
    </row>
    <row r="63" spans="2:7" s="306" customFormat="1" x14ac:dyDescent="0.3">
      <c r="B63" s="289" t="s">
        <v>225</v>
      </c>
      <c r="C63" s="307">
        <v>15000</v>
      </c>
      <c r="E63" s="312"/>
      <c r="F63" s="313"/>
      <c r="G63" s="311"/>
    </row>
    <row r="64" spans="2:7" s="306" customFormat="1" x14ac:dyDescent="0.3">
      <c r="B64" s="289" t="s">
        <v>303</v>
      </c>
      <c r="C64" s="307">
        <v>15566356</v>
      </c>
      <c r="D64" s="311"/>
      <c r="E64" s="312"/>
      <c r="F64" s="313"/>
      <c r="G64" s="311"/>
    </row>
    <row r="65" spans="2:7" s="306" customFormat="1" x14ac:dyDescent="0.3">
      <c r="B65" s="289" t="s">
        <v>166</v>
      </c>
      <c r="C65" s="307">
        <v>88577.66</v>
      </c>
      <c r="E65" s="312"/>
      <c r="F65" s="313"/>
      <c r="G65" s="311"/>
    </row>
    <row r="66" spans="2:7" s="306" customFormat="1" x14ac:dyDescent="0.3">
      <c r="B66" s="289" t="s">
        <v>228</v>
      </c>
      <c r="C66" s="307">
        <v>2033.9</v>
      </c>
      <c r="E66" s="312"/>
      <c r="F66" s="313"/>
      <c r="G66" s="311"/>
    </row>
    <row r="67" spans="2:7" s="306" customFormat="1" x14ac:dyDescent="0.3">
      <c r="B67" s="289" t="s">
        <v>229</v>
      </c>
      <c r="C67" s="307">
        <v>5664</v>
      </c>
      <c r="E67" s="312"/>
      <c r="F67" s="313"/>
      <c r="G67" s="311"/>
    </row>
    <row r="68" spans="2:7" s="306" customFormat="1" x14ac:dyDescent="0.3">
      <c r="B68" s="289" t="s">
        <v>230</v>
      </c>
      <c r="C68" s="307">
        <v>1677.97</v>
      </c>
      <c r="E68" s="312"/>
      <c r="F68" s="313"/>
      <c r="G68" s="311"/>
    </row>
    <row r="69" spans="2:7" s="306" customFormat="1" x14ac:dyDescent="0.3">
      <c r="B69" s="289" t="s">
        <v>231</v>
      </c>
      <c r="C69" s="307">
        <v>67596.639999999999</v>
      </c>
      <c r="E69" s="312"/>
      <c r="F69" s="313"/>
      <c r="G69" s="311"/>
    </row>
    <row r="70" spans="2:7" s="306" customFormat="1" x14ac:dyDescent="0.3">
      <c r="B70" s="301"/>
      <c r="C70" s="308"/>
    </row>
    <row r="71" spans="2:7" s="306" customFormat="1" x14ac:dyDescent="0.3">
      <c r="B71" s="302" t="s">
        <v>250</v>
      </c>
      <c r="C71" s="305">
        <f>SUM(C72:C76)</f>
        <v>1231788</v>
      </c>
    </row>
    <row r="72" spans="2:7" s="306" customFormat="1" x14ac:dyDescent="0.3">
      <c r="B72" s="289" t="s">
        <v>168</v>
      </c>
      <c r="C72" s="307">
        <v>540000</v>
      </c>
    </row>
    <row r="73" spans="2:7" s="306" customFormat="1" x14ac:dyDescent="0.3">
      <c r="B73" s="289" t="s">
        <v>206</v>
      </c>
      <c r="C73" s="307">
        <v>40000</v>
      </c>
    </row>
    <row r="74" spans="2:7" s="306" customFormat="1" x14ac:dyDescent="0.3">
      <c r="B74" s="289" t="s">
        <v>169</v>
      </c>
      <c r="C74" s="307">
        <v>110688</v>
      </c>
    </row>
    <row r="75" spans="2:7" s="306" customFormat="1" x14ac:dyDescent="0.3">
      <c r="B75" s="289" t="s">
        <v>218</v>
      </c>
      <c r="C75" s="307">
        <v>178600</v>
      </c>
    </row>
    <row r="76" spans="2:7" s="306" customFormat="1" x14ac:dyDescent="0.3">
      <c r="B76" s="289" t="s">
        <v>219</v>
      </c>
      <c r="C76" s="307">
        <v>362500</v>
      </c>
    </row>
    <row r="77" spans="2:7" s="306" customFormat="1" x14ac:dyDescent="0.3">
      <c r="B77" s="300"/>
      <c r="C77" s="308"/>
    </row>
    <row r="78" spans="2:7" s="306" customFormat="1" x14ac:dyDescent="0.3">
      <c r="B78" s="302" t="s">
        <v>251</v>
      </c>
      <c r="C78" s="305">
        <f>SUM(C79:C82)</f>
        <v>6449</v>
      </c>
    </row>
    <row r="79" spans="2:7" s="306" customFormat="1" x14ac:dyDescent="0.3">
      <c r="B79" s="289" t="s">
        <v>210</v>
      </c>
      <c r="C79" s="307">
        <v>1880</v>
      </c>
    </row>
    <row r="80" spans="2:7" s="306" customFormat="1" x14ac:dyDescent="0.3">
      <c r="B80" s="289" t="s">
        <v>148</v>
      </c>
      <c r="C80" s="307">
        <v>1265</v>
      </c>
    </row>
    <row r="81" spans="2:5" s="306" customFormat="1" x14ac:dyDescent="0.3">
      <c r="B81" s="289" t="s">
        <v>226</v>
      </c>
      <c r="C81" s="307">
        <v>3304</v>
      </c>
    </row>
    <row r="82" spans="2:5" s="306" customFormat="1" x14ac:dyDescent="0.3">
      <c r="B82" s="300"/>
      <c r="C82" s="308"/>
    </row>
    <row r="83" spans="2:5" s="306" customFormat="1" x14ac:dyDescent="0.3">
      <c r="B83" s="302" t="s">
        <v>192</v>
      </c>
      <c r="C83" s="305">
        <f>SUM(C84:C89)</f>
        <v>1407456.83</v>
      </c>
    </row>
    <row r="84" spans="2:5" s="306" customFormat="1" x14ac:dyDescent="0.3">
      <c r="B84" s="289" t="s">
        <v>89</v>
      </c>
      <c r="C84" s="307">
        <v>1139.82</v>
      </c>
    </row>
    <row r="85" spans="2:5" s="306" customFormat="1" x14ac:dyDescent="0.3">
      <c r="B85" s="289" t="s">
        <v>193</v>
      </c>
      <c r="C85" s="307">
        <v>452295.44</v>
      </c>
    </row>
    <row r="86" spans="2:5" s="306" customFormat="1" x14ac:dyDescent="0.3">
      <c r="B86" s="289" t="s">
        <v>194</v>
      </c>
      <c r="C86" s="307">
        <f>823579.74</f>
        <v>823579.74</v>
      </c>
    </row>
    <row r="87" spans="2:5" s="306" customFormat="1" x14ac:dyDescent="0.3">
      <c r="B87" s="289" t="s">
        <v>195</v>
      </c>
      <c r="C87" s="307">
        <v>90309.26</v>
      </c>
    </row>
    <row r="88" spans="2:5" s="306" customFormat="1" x14ac:dyDescent="0.3">
      <c r="B88" s="289" t="s">
        <v>196</v>
      </c>
      <c r="C88" s="307">
        <v>8824.57</v>
      </c>
    </row>
    <row r="89" spans="2:5" s="306" customFormat="1" x14ac:dyDescent="0.3">
      <c r="B89" s="289" t="s">
        <v>197</v>
      </c>
      <c r="C89" s="307">
        <v>31308</v>
      </c>
    </row>
    <row r="90" spans="2:5" s="306" customFormat="1" x14ac:dyDescent="0.3">
      <c r="B90" s="303"/>
      <c r="C90" s="308"/>
    </row>
    <row r="91" spans="2:5" s="306" customFormat="1" x14ac:dyDescent="0.3">
      <c r="B91" s="302" t="s">
        <v>536</v>
      </c>
      <c r="C91" s="305">
        <f>182580.26+69139.74-74787.76</f>
        <v>176932.24</v>
      </c>
    </row>
    <row r="92" spans="2:5" s="306" customFormat="1" x14ac:dyDescent="0.3">
      <c r="B92" s="303"/>
      <c r="C92" s="308"/>
    </row>
    <row r="93" spans="2:5" s="306" customFormat="1" x14ac:dyDescent="0.3">
      <c r="B93" s="301"/>
      <c r="C93" s="308"/>
    </row>
    <row r="94" spans="2:5" s="306" customFormat="1" x14ac:dyDescent="0.3">
      <c r="B94" s="304" t="s">
        <v>137</v>
      </c>
      <c r="C94" s="316">
        <f>C83+C78+C71+C44+C34+C31+C27+C20+C14+C10+C7+C2+C91</f>
        <v>21223617.169999998</v>
      </c>
      <c r="E94" s="3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E702-5F0F-487A-BCC1-A5AC6F6C0176}">
  <dimension ref="A2:H19"/>
  <sheetViews>
    <sheetView zoomScale="85" zoomScaleNormal="85" workbookViewId="0">
      <selection activeCell="D15" sqref="D15"/>
    </sheetView>
  </sheetViews>
  <sheetFormatPr defaultColWidth="8.90625" defaultRowHeight="14.5" x14ac:dyDescent="0.35"/>
  <cols>
    <col min="1" max="1" width="3.08984375" style="8" customWidth="1"/>
    <col min="2" max="2" width="7" style="8" bestFit="1" customWidth="1"/>
    <col min="3" max="3" width="27.6328125" style="8" bestFit="1" customWidth="1"/>
    <col min="4" max="4" width="14.08984375" style="8" bestFit="1" customWidth="1"/>
    <col min="5" max="5" width="11.08984375" style="8" bestFit="1" customWidth="1"/>
    <col min="6" max="6" width="10.453125" bestFit="1" customWidth="1"/>
    <col min="7" max="7" width="17" bestFit="1" customWidth="1"/>
    <col min="8" max="8" width="10.36328125" bestFit="1" customWidth="1"/>
    <col min="9" max="16384" width="8.90625" style="8"/>
  </cols>
  <sheetData>
    <row r="2" spans="1:6" x14ac:dyDescent="0.35">
      <c r="B2" s="214" t="s">
        <v>289</v>
      </c>
      <c r="C2" s="214"/>
      <c r="D2" s="214"/>
    </row>
    <row r="3" spans="1:6" x14ac:dyDescent="0.35">
      <c r="B3" s="38" t="s">
        <v>257</v>
      </c>
      <c r="C3" s="38" t="s">
        <v>255</v>
      </c>
      <c r="D3" s="38" t="s">
        <v>2</v>
      </c>
    </row>
    <row r="4" spans="1:6" x14ac:dyDescent="0.35">
      <c r="B4" s="320" t="s">
        <v>256</v>
      </c>
      <c r="C4" s="321" t="s">
        <v>348</v>
      </c>
      <c r="D4" s="216">
        <v>446.26</v>
      </c>
    </row>
    <row r="5" spans="1:6" x14ac:dyDescent="0.35">
      <c r="B5" s="10"/>
      <c r="C5" s="109"/>
      <c r="D5" s="216"/>
    </row>
    <row r="6" spans="1:6" x14ac:dyDescent="0.35">
      <c r="B6" s="110"/>
      <c r="C6" s="322" t="s">
        <v>6</v>
      </c>
      <c r="D6" s="217">
        <f>SUM(D4:D4)</f>
        <v>446.26</v>
      </c>
      <c r="E6" s="163"/>
    </row>
    <row r="7" spans="1:6" x14ac:dyDescent="0.35">
      <c r="D7" s="13"/>
    </row>
    <row r="8" spans="1:6" x14ac:dyDescent="0.35">
      <c r="B8" s="214" t="s">
        <v>305</v>
      </c>
      <c r="C8" s="214"/>
      <c r="D8" s="214"/>
    </row>
    <row r="9" spans="1:6" x14ac:dyDescent="0.35">
      <c r="B9" s="36" t="s">
        <v>257</v>
      </c>
      <c r="C9" s="36" t="s">
        <v>255</v>
      </c>
      <c r="D9" s="37" t="s">
        <v>2</v>
      </c>
    </row>
    <row r="10" spans="1:6" x14ac:dyDescent="0.35">
      <c r="A10" s="319"/>
      <c r="B10" s="320" t="s">
        <v>256</v>
      </c>
      <c r="C10" s="320" t="s">
        <v>287</v>
      </c>
      <c r="D10" s="216">
        <v>138128.13</v>
      </c>
    </row>
    <row r="11" spans="1:6" x14ac:dyDescent="0.35">
      <c r="A11" s="319"/>
      <c r="B11" s="320" t="s">
        <v>256</v>
      </c>
      <c r="C11" s="320" t="s">
        <v>286</v>
      </c>
      <c r="D11" s="216">
        <v>-365579.96</v>
      </c>
      <c r="E11" s="201"/>
      <c r="F11" s="111"/>
    </row>
    <row r="12" spans="1:6" x14ac:dyDescent="0.35">
      <c r="A12" s="319"/>
      <c r="B12" s="320" t="s">
        <v>256</v>
      </c>
      <c r="C12" s="320" t="s">
        <v>324</v>
      </c>
      <c r="D12" s="216">
        <v>2398127</v>
      </c>
    </row>
    <row r="13" spans="1:6" x14ac:dyDescent="0.35">
      <c r="A13" s="319"/>
      <c r="B13" s="320" t="s">
        <v>256</v>
      </c>
      <c r="C13" s="320" t="s">
        <v>232</v>
      </c>
      <c r="D13" s="216">
        <v>190000</v>
      </c>
      <c r="F13" s="116"/>
    </row>
    <row r="14" spans="1:6" x14ac:dyDescent="0.35">
      <c r="A14" s="319"/>
      <c r="B14" s="320" t="s">
        <v>254</v>
      </c>
      <c r="C14" s="320" t="s">
        <v>290</v>
      </c>
      <c r="D14" s="216">
        <v>1000</v>
      </c>
    </row>
    <row r="15" spans="1:6" x14ac:dyDescent="0.35">
      <c r="A15" s="319"/>
      <c r="B15" s="320" t="s">
        <v>256</v>
      </c>
      <c r="C15" s="320" t="s">
        <v>329</v>
      </c>
      <c r="D15" s="216">
        <v>216907.6</v>
      </c>
    </row>
    <row r="16" spans="1:6" x14ac:dyDescent="0.35">
      <c r="A16" s="319"/>
      <c r="B16" s="320"/>
      <c r="C16" s="320"/>
      <c r="D16" s="216"/>
    </row>
    <row r="17" spans="2:4" x14ac:dyDescent="0.35">
      <c r="B17" s="10"/>
      <c r="C17" s="322" t="s">
        <v>6</v>
      </c>
      <c r="D17" s="157">
        <f>SUM(D10:D15)</f>
        <v>2578582.77</v>
      </c>
    </row>
    <row r="19" spans="2:4" x14ac:dyDescent="0.35">
      <c r="D19" s="159"/>
    </row>
  </sheetData>
  <mergeCells count="2">
    <mergeCell ref="B8:D8"/>
    <mergeCell ref="B2:D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B4FD4-C504-4B7F-A4C4-536D9405E642}">
  <dimension ref="A1:D5"/>
  <sheetViews>
    <sheetView workbookViewId="0">
      <selection activeCell="A4" sqref="A4"/>
    </sheetView>
  </sheetViews>
  <sheetFormatPr defaultRowHeight="14.5" x14ac:dyDescent="0.35"/>
  <cols>
    <col min="1" max="1" width="4.6328125" bestFit="1" customWidth="1"/>
    <col min="2" max="2" width="9.36328125" bestFit="1" customWidth="1"/>
    <col min="3" max="3" width="10.36328125" bestFit="1" customWidth="1"/>
    <col min="4" max="4" width="7.81640625" bestFit="1" customWidth="1"/>
  </cols>
  <sheetData>
    <row r="1" spans="1:4" x14ac:dyDescent="0.35">
      <c r="A1" s="215" t="s">
        <v>315</v>
      </c>
      <c r="B1" s="215"/>
      <c r="C1" s="215"/>
      <c r="D1" s="215"/>
    </row>
    <row r="3" spans="1:4" x14ac:dyDescent="0.35">
      <c r="A3" s="45" t="s">
        <v>3</v>
      </c>
      <c r="B3" s="45" t="s">
        <v>1</v>
      </c>
      <c r="C3" s="45" t="s">
        <v>50</v>
      </c>
      <c r="D3" s="45" t="s">
        <v>51</v>
      </c>
    </row>
    <row r="4" spans="1:4" x14ac:dyDescent="0.35">
      <c r="A4" s="10"/>
      <c r="B4" s="10" t="s">
        <v>592</v>
      </c>
      <c r="C4" s="10"/>
      <c r="D4" s="10"/>
    </row>
    <row r="5" spans="1:4" x14ac:dyDescent="0.35">
      <c r="A5" s="10"/>
      <c r="B5" s="10"/>
      <c r="C5" s="44">
        <f>SUM(C4:C4)</f>
        <v>0</v>
      </c>
      <c r="D5" s="10"/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BB1E-6604-4294-AEC7-72AA2AF65AC0}">
  <dimension ref="B2:H211"/>
  <sheetViews>
    <sheetView topLeftCell="A206" workbookViewId="0">
      <selection activeCell="G211" sqref="G211"/>
    </sheetView>
  </sheetViews>
  <sheetFormatPr defaultColWidth="8.90625" defaultRowHeight="14" x14ac:dyDescent="0.3"/>
  <cols>
    <col min="1" max="1" width="2.6328125" style="8" customWidth="1"/>
    <col min="2" max="2" width="13.453125" style="8" customWidth="1"/>
    <col min="3" max="3" width="34.90625" style="8" bestFit="1" customWidth="1"/>
    <col min="4" max="4" width="9.453125" style="8" bestFit="1" customWidth="1"/>
    <col min="5" max="6" width="12.1796875" style="8" bestFit="1" customWidth="1"/>
    <col min="7" max="7" width="9.81640625" style="8" bestFit="1" customWidth="1"/>
    <col min="8" max="8" width="10.81640625" style="8" bestFit="1" customWidth="1"/>
    <col min="9" max="16384" width="8.90625" style="8"/>
  </cols>
  <sheetData>
    <row r="2" spans="2:7" x14ac:dyDescent="0.3">
      <c r="B2" s="30" t="s">
        <v>15</v>
      </c>
    </row>
    <row r="3" spans="2:7" s="12" customFormat="1" x14ac:dyDescent="0.3">
      <c r="B3" s="31" t="s">
        <v>3</v>
      </c>
      <c r="C3" s="31" t="s">
        <v>1</v>
      </c>
      <c r="D3" s="31" t="s">
        <v>39</v>
      </c>
      <c r="E3" s="31" t="s">
        <v>41</v>
      </c>
      <c r="F3" s="31" t="s">
        <v>42</v>
      </c>
    </row>
    <row r="4" spans="2:7" s="14" customFormat="1" x14ac:dyDescent="0.3">
      <c r="B4" s="29">
        <v>44705</v>
      </c>
      <c r="C4" s="10" t="s">
        <v>10</v>
      </c>
      <c r="D4" s="10" t="s">
        <v>83</v>
      </c>
      <c r="E4" s="61"/>
      <c r="F4" s="61">
        <v>100000</v>
      </c>
      <c r="G4" s="8"/>
    </row>
    <row r="5" spans="2:7" s="14" customFormat="1" x14ac:dyDescent="0.3">
      <c r="B5" s="29">
        <v>44707</v>
      </c>
      <c r="C5" s="10" t="s">
        <v>10</v>
      </c>
      <c r="D5" s="10" t="s">
        <v>83</v>
      </c>
      <c r="E5" s="61"/>
      <c r="F5" s="61">
        <v>500000</v>
      </c>
      <c r="G5" s="8"/>
    </row>
    <row r="6" spans="2:7" s="14" customFormat="1" x14ac:dyDescent="0.3">
      <c r="B6" s="29">
        <v>44716</v>
      </c>
      <c r="C6" s="10" t="s">
        <v>10</v>
      </c>
      <c r="D6" s="10" t="s">
        <v>83</v>
      </c>
      <c r="E6" s="61"/>
      <c r="F6" s="61">
        <v>500000</v>
      </c>
      <c r="G6" s="8"/>
    </row>
    <row r="7" spans="2:7" s="14" customFormat="1" x14ac:dyDescent="0.3">
      <c r="B7" s="29">
        <v>44739</v>
      </c>
      <c r="C7" s="10" t="s">
        <v>10</v>
      </c>
      <c r="D7" s="10" t="s">
        <v>83</v>
      </c>
      <c r="E7" s="61"/>
      <c r="F7" s="61">
        <v>500000</v>
      </c>
      <c r="G7" s="8"/>
    </row>
    <row r="8" spans="2:7" s="14" customFormat="1" x14ac:dyDescent="0.3">
      <c r="B8" s="29">
        <v>44746</v>
      </c>
      <c r="C8" s="10" t="s">
        <v>10</v>
      </c>
      <c r="D8" s="10" t="s">
        <v>83</v>
      </c>
      <c r="E8" s="61"/>
      <c r="F8" s="61">
        <v>300000</v>
      </c>
      <c r="G8" s="8"/>
    </row>
    <row r="9" spans="2:7" s="14" customFormat="1" x14ac:dyDescent="0.3">
      <c r="B9" s="29">
        <v>44766</v>
      </c>
      <c r="C9" s="10" t="s">
        <v>10</v>
      </c>
      <c r="D9" s="10" t="s">
        <v>43</v>
      </c>
      <c r="E9" s="61">
        <v>25000</v>
      </c>
      <c r="F9" s="61"/>
      <c r="G9" s="8"/>
    </row>
    <row r="10" spans="2:7" s="14" customFormat="1" x14ac:dyDescent="0.3">
      <c r="B10" s="29">
        <v>44769</v>
      </c>
      <c r="C10" s="10" t="s">
        <v>10</v>
      </c>
      <c r="D10" s="10" t="s">
        <v>83</v>
      </c>
      <c r="E10" s="61"/>
      <c r="F10" s="61">
        <v>500000</v>
      </c>
      <c r="G10" s="8"/>
    </row>
    <row r="11" spans="2:7" s="14" customFormat="1" x14ac:dyDescent="0.3">
      <c r="B11" s="29">
        <v>44774</v>
      </c>
      <c r="C11" s="10" t="s">
        <v>10</v>
      </c>
      <c r="D11" s="10" t="s">
        <v>83</v>
      </c>
      <c r="E11" s="61"/>
      <c r="F11" s="61">
        <v>500000</v>
      </c>
      <c r="G11" s="8"/>
    </row>
    <row r="12" spans="2:7" s="14" customFormat="1" x14ac:dyDescent="0.3">
      <c r="B12" s="29">
        <v>44795</v>
      </c>
      <c r="C12" s="10" t="s">
        <v>10</v>
      </c>
      <c r="D12" s="10" t="s">
        <v>83</v>
      </c>
      <c r="E12" s="61"/>
      <c r="F12" s="61">
        <v>500000</v>
      </c>
      <c r="G12" s="8"/>
    </row>
    <row r="13" spans="2:7" s="14" customFormat="1" x14ac:dyDescent="0.3">
      <c r="B13" s="29">
        <v>44795</v>
      </c>
      <c r="C13" s="10" t="s">
        <v>10</v>
      </c>
      <c r="D13" s="10" t="s">
        <v>83</v>
      </c>
      <c r="E13" s="61"/>
      <c r="F13" s="61">
        <v>500000</v>
      </c>
      <c r="G13" s="8"/>
    </row>
    <row r="14" spans="2:7" s="14" customFormat="1" x14ac:dyDescent="0.3">
      <c r="B14" s="29">
        <v>44831</v>
      </c>
      <c r="C14" s="10" t="s">
        <v>10</v>
      </c>
      <c r="D14" s="10" t="s">
        <v>43</v>
      </c>
      <c r="E14" s="61">
        <v>500000</v>
      </c>
      <c r="F14" s="61"/>
      <c r="G14" s="8"/>
    </row>
    <row r="15" spans="2:7" s="14" customFormat="1" x14ac:dyDescent="0.3">
      <c r="B15" s="29">
        <v>44831</v>
      </c>
      <c r="C15" s="10" t="s">
        <v>10</v>
      </c>
      <c r="D15" s="10" t="s">
        <v>43</v>
      </c>
      <c r="E15" s="61">
        <v>500000</v>
      </c>
      <c r="F15" s="61"/>
      <c r="G15" s="8"/>
    </row>
    <row r="16" spans="2:7" s="14" customFormat="1" x14ac:dyDescent="0.3">
      <c r="B16" s="29">
        <v>44832</v>
      </c>
      <c r="C16" s="10" t="s">
        <v>10</v>
      </c>
      <c r="D16" s="10" t="s">
        <v>43</v>
      </c>
      <c r="E16" s="61">
        <v>500000</v>
      </c>
      <c r="F16" s="61"/>
      <c r="G16" s="8"/>
    </row>
    <row r="17" spans="2:7" s="14" customFormat="1" x14ac:dyDescent="0.3">
      <c r="B17" s="29">
        <v>44832</v>
      </c>
      <c r="C17" s="10" t="s">
        <v>10</v>
      </c>
      <c r="D17" s="10" t="s">
        <v>43</v>
      </c>
      <c r="E17" s="61">
        <v>500000</v>
      </c>
      <c r="F17" s="61"/>
      <c r="G17" s="8"/>
    </row>
    <row r="18" spans="2:7" s="14" customFormat="1" x14ac:dyDescent="0.3">
      <c r="B18" s="29">
        <v>44833</v>
      </c>
      <c r="C18" s="10" t="s">
        <v>10</v>
      </c>
      <c r="D18" s="10" t="s">
        <v>43</v>
      </c>
      <c r="E18" s="61">
        <v>500000</v>
      </c>
      <c r="F18" s="61"/>
      <c r="G18" s="8"/>
    </row>
    <row r="19" spans="2:7" s="14" customFormat="1" x14ac:dyDescent="0.3">
      <c r="B19" s="29">
        <v>44833</v>
      </c>
      <c r="C19" s="10" t="s">
        <v>10</v>
      </c>
      <c r="D19" s="10" t="s">
        <v>43</v>
      </c>
      <c r="E19" s="61">
        <v>500000</v>
      </c>
      <c r="F19" s="61"/>
      <c r="G19" s="8"/>
    </row>
    <row r="20" spans="2:7" s="14" customFormat="1" x14ac:dyDescent="0.3">
      <c r="B20" s="29">
        <v>44833</v>
      </c>
      <c r="C20" s="10" t="s">
        <v>10</v>
      </c>
      <c r="D20" s="10" t="s">
        <v>43</v>
      </c>
      <c r="E20" s="61">
        <v>150000</v>
      </c>
      <c r="F20" s="61"/>
      <c r="G20" s="8"/>
    </row>
    <row r="21" spans="2:7" s="14" customFormat="1" x14ac:dyDescent="0.3">
      <c r="B21" s="29">
        <v>44834</v>
      </c>
      <c r="C21" s="10" t="s">
        <v>10</v>
      </c>
      <c r="D21" s="10" t="s">
        <v>43</v>
      </c>
      <c r="E21" s="61">
        <v>500000</v>
      </c>
      <c r="F21" s="61"/>
      <c r="G21" s="8"/>
    </row>
    <row r="22" spans="2:7" s="14" customFormat="1" x14ac:dyDescent="0.3">
      <c r="B22" s="29">
        <v>44879</v>
      </c>
      <c r="C22" s="10" t="s">
        <v>60</v>
      </c>
      <c r="D22" s="10" t="s">
        <v>83</v>
      </c>
      <c r="E22" s="61"/>
      <c r="F22" s="61">
        <v>2500000</v>
      </c>
      <c r="G22" s="8"/>
    </row>
    <row r="23" spans="2:7" s="14" customFormat="1" x14ac:dyDescent="0.3">
      <c r="B23" s="29">
        <v>44879</v>
      </c>
      <c r="C23" s="10" t="s">
        <v>60</v>
      </c>
      <c r="D23" s="10" t="s">
        <v>83</v>
      </c>
      <c r="E23" s="61"/>
      <c r="F23" s="61">
        <v>2490000</v>
      </c>
      <c r="G23" s="8"/>
    </row>
    <row r="24" spans="2:7" s="14" customFormat="1" x14ac:dyDescent="0.3">
      <c r="B24" s="29">
        <v>44883</v>
      </c>
      <c r="C24" s="10" t="s">
        <v>60</v>
      </c>
      <c r="D24" s="10" t="s">
        <v>43</v>
      </c>
      <c r="E24" s="61">
        <v>2000000</v>
      </c>
      <c r="F24" s="61"/>
      <c r="G24" s="8"/>
    </row>
    <row r="25" spans="2:7" x14ac:dyDescent="0.3">
      <c r="B25" s="10"/>
      <c r="C25" s="10"/>
      <c r="D25" s="10"/>
      <c r="E25" s="158"/>
      <c r="F25" s="158"/>
    </row>
    <row r="26" spans="2:7" s="12" customFormat="1" x14ac:dyDescent="0.3">
      <c r="B26" s="11"/>
      <c r="C26" s="11" t="s">
        <v>6</v>
      </c>
      <c r="D26" s="11"/>
      <c r="E26" s="154">
        <f>SUM(E4:E25)</f>
        <v>5675000</v>
      </c>
      <c r="F26" s="154">
        <f>SUM(F4:F25)</f>
        <v>8890000</v>
      </c>
    </row>
    <row r="27" spans="2:7" s="12" customFormat="1" x14ac:dyDescent="0.3">
      <c r="B27" s="11"/>
      <c r="C27" s="11" t="s">
        <v>84</v>
      </c>
      <c r="D27" s="11"/>
      <c r="E27" s="154">
        <f>F26-E26</f>
        <v>3215000</v>
      </c>
      <c r="F27" s="154"/>
    </row>
    <row r="28" spans="2:7" s="12" customFormat="1" x14ac:dyDescent="0.3">
      <c r="E28" s="155"/>
      <c r="F28" s="155"/>
    </row>
    <row r="29" spans="2:7" s="12" customFormat="1" x14ac:dyDescent="0.3">
      <c r="E29" s="155"/>
      <c r="F29" s="155"/>
    </row>
    <row r="30" spans="2:7" x14ac:dyDescent="0.3">
      <c r="B30" s="30" t="s">
        <v>16</v>
      </c>
      <c r="E30" s="159"/>
      <c r="F30" s="159"/>
    </row>
    <row r="31" spans="2:7" s="12" customFormat="1" x14ac:dyDescent="0.3">
      <c r="B31" s="31" t="s">
        <v>3</v>
      </c>
      <c r="C31" s="31" t="s">
        <v>1</v>
      </c>
      <c r="D31" s="31" t="s">
        <v>39</v>
      </c>
      <c r="E31" s="160" t="s">
        <v>41</v>
      </c>
      <c r="F31" s="160" t="s">
        <v>42</v>
      </c>
    </row>
    <row r="32" spans="2:7" x14ac:dyDescent="0.3">
      <c r="B32" s="29">
        <v>44287</v>
      </c>
      <c r="C32" s="10" t="s">
        <v>85</v>
      </c>
      <c r="D32" s="10"/>
      <c r="E32" s="61"/>
      <c r="F32" s="61">
        <v>10000</v>
      </c>
    </row>
    <row r="33" spans="2:7" x14ac:dyDescent="0.3">
      <c r="B33" s="29">
        <v>45173</v>
      </c>
      <c r="C33" s="10" t="s">
        <v>60</v>
      </c>
      <c r="D33" s="10" t="s">
        <v>83</v>
      </c>
      <c r="E33" s="61"/>
      <c r="F33" s="61">
        <v>10200000</v>
      </c>
    </row>
    <row r="34" spans="2:7" x14ac:dyDescent="0.3">
      <c r="B34" s="29">
        <v>45474</v>
      </c>
      <c r="C34" s="10" t="s">
        <v>60</v>
      </c>
      <c r="D34" s="10" t="s">
        <v>83</v>
      </c>
      <c r="E34" s="61"/>
      <c r="F34" s="61">
        <v>5000000</v>
      </c>
    </row>
    <row r="35" spans="2:7" x14ac:dyDescent="0.3">
      <c r="B35" s="29">
        <v>45475</v>
      </c>
      <c r="C35" s="10" t="s">
        <v>60</v>
      </c>
      <c r="D35" s="10" t="s">
        <v>83</v>
      </c>
      <c r="E35" s="61"/>
      <c r="F35" s="61">
        <v>5000000</v>
      </c>
    </row>
    <row r="36" spans="2:7" x14ac:dyDescent="0.3">
      <c r="B36" s="29">
        <v>45475</v>
      </c>
      <c r="C36" s="10" t="s">
        <v>11</v>
      </c>
      <c r="D36" s="10" t="s">
        <v>83</v>
      </c>
      <c r="E36" s="61"/>
      <c r="F36" s="61">
        <v>700000</v>
      </c>
    </row>
    <row r="37" spans="2:7" x14ac:dyDescent="0.3">
      <c r="B37" s="29">
        <v>45492</v>
      </c>
      <c r="C37" s="10" t="s">
        <v>11</v>
      </c>
      <c r="D37" s="10" t="s">
        <v>83</v>
      </c>
      <c r="E37" s="61"/>
      <c r="F37" s="61">
        <v>2000000</v>
      </c>
    </row>
    <row r="38" spans="2:7" x14ac:dyDescent="0.3">
      <c r="B38" s="29">
        <v>45547</v>
      </c>
      <c r="C38" s="10" t="s">
        <v>60</v>
      </c>
      <c r="D38" s="10" t="s">
        <v>83</v>
      </c>
      <c r="E38" s="61"/>
      <c r="F38" s="61">
        <v>10000000</v>
      </c>
    </row>
    <row r="39" spans="2:7" x14ac:dyDescent="0.3">
      <c r="B39" s="29">
        <v>45565</v>
      </c>
      <c r="C39" s="10" t="s">
        <v>60</v>
      </c>
      <c r="D39" s="10" t="s">
        <v>83</v>
      </c>
      <c r="E39" s="61"/>
      <c r="F39" s="61">
        <v>10000000</v>
      </c>
    </row>
    <row r="40" spans="2:7" x14ac:dyDescent="0.3">
      <c r="B40" s="29">
        <v>45632</v>
      </c>
      <c r="C40" s="10" t="s">
        <v>60</v>
      </c>
      <c r="D40" s="10" t="s">
        <v>83</v>
      </c>
      <c r="E40" s="61"/>
      <c r="F40" s="61">
        <v>10000000</v>
      </c>
    </row>
    <row r="41" spans="2:7" x14ac:dyDescent="0.3">
      <c r="B41" s="29">
        <v>45679</v>
      </c>
      <c r="C41" s="10" t="s">
        <v>60</v>
      </c>
      <c r="D41" s="28" t="s">
        <v>83</v>
      </c>
      <c r="E41" s="158"/>
      <c r="F41" s="61">
        <v>3000000</v>
      </c>
    </row>
    <row r="42" spans="2:7" x14ac:dyDescent="0.3">
      <c r="B42" s="29">
        <v>45686</v>
      </c>
      <c r="C42" s="10" t="s">
        <v>60</v>
      </c>
      <c r="D42" s="28" t="s">
        <v>83</v>
      </c>
      <c r="E42" s="158"/>
      <c r="F42" s="61">
        <v>2315000</v>
      </c>
    </row>
    <row r="43" spans="2:7" x14ac:dyDescent="0.3">
      <c r="B43" s="29">
        <v>45848</v>
      </c>
      <c r="C43" s="10" t="s">
        <v>60</v>
      </c>
      <c r="D43" s="28" t="s">
        <v>83</v>
      </c>
      <c r="E43" s="61"/>
      <c r="F43" s="61">
        <v>5000000</v>
      </c>
    </row>
    <row r="44" spans="2:7" x14ac:dyDescent="0.3">
      <c r="B44" s="29">
        <v>45936</v>
      </c>
      <c r="C44" s="10" t="s">
        <v>60</v>
      </c>
      <c r="D44" s="28" t="s">
        <v>83</v>
      </c>
      <c r="E44" s="61"/>
      <c r="F44" s="61">
        <v>1600000</v>
      </c>
    </row>
    <row r="45" spans="2:7" s="12" customFormat="1" x14ac:dyDescent="0.3">
      <c r="B45" s="11"/>
      <c r="C45" s="11" t="s">
        <v>6</v>
      </c>
      <c r="D45" s="11"/>
      <c r="E45" s="154">
        <f>SUM(E32:E43)</f>
        <v>0</v>
      </c>
      <c r="F45" s="154">
        <f>SUM(F32:F44)</f>
        <v>64825000</v>
      </c>
      <c r="G45" s="8"/>
    </row>
    <row r="46" spans="2:7" s="12" customFormat="1" x14ac:dyDescent="0.3">
      <c r="B46" s="11"/>
      <c r="C46" s="11" t="s">
        <v>84</v>
      </c>
      <c r="D46" s="11"/>
      <c r="E46" s="154">
        <f>F45-E45</f>
        <v>64825000</v>
      </c>
      <c r="F46" s="154"/>
      <c r="G46" s="8"/>
    </row>
    <row r="47" spans="2:7" x14ac:dyDescent="0.3">
      <c r="E47" s="159"/>
      <c r="F47" s="159"/>
    </row>
    <row r="48" spans="2:7" x14ac:dyDescent="0.3">
      <c r="B48" s="30"/>
      <c r="E48" s="159"/>
      <c r="F48" s="159"/>
    </row>
    <row r="49" spans="2:6" x14ac:dyDescent="0.3">
      <c r="B49" s="30" t="s">
        <v>98</v>
      </c>
      <c r="E49" s="159"/>
      <c r="F49" s="159"/>
    </row>
    <row r="50" spans="2:6" x14ac:dyDescent="0.3">
      <c r="B50" s="31" t="s">
        <v>3</v>
      </c>
      <c r="C50" s="31" t="s">
        <v>1</v>
      </c>
      <c r="D50" s="31" t="s">
        <v>39</v>
      </c>
      <c r="E50" s="160" t="s">
        <v>41</v>
      </c>
      <c r="F50" s="160" t="s">
        <v>42</v>
      </c>
    </row>
    <row r="51" spans="2:6" x14ac:dyDescent="0.3">
      <c r="B51" s="29">
        <v>45495</v>
      </c>
      <c r="C51" s="10" t="s">
        <v>60</v>
      </c>
      <c r="D51" s="10" t="s">
        <v>83</v>
      </c>
      <c r="E51" s="61"/>
      <c r="F51" s="61">
        <v>1000</v>
      </c>
    </row>
    <row r="52" spans="2:6" x14ac:dyDescent="0.3">
      <c r="B52" s="29">
        <v>45495</v>
      </c>
      <c r="C52" s="10" t="s">
        <v>60</v>
      </c>
      <c r="D52" s="10" t="s">
        <v>83</v>
      </c>
      <c r="E52" s="61"/>
      <c r="F52" s="61">
        <v>1000000</v>
      </c>
    </row>
    <row r="53" spans="2:6" x14ac:dyDescent="0.3">
      <c r="B53" s="29">
        <v>45498</v>
      </c>
      <c r="C53" s="10" t="s">
        <v>60</v>
      </c>
      <c r="D53" s="10" t="s">
        <v>83</v>
      </c>
      <c r="E53" s="61"/>
      <c r="F53" s="61">
        <v>1000000</v>
      </c>
    </row>
    <row r="54" spans="2:6" x14ac:dyDescent="0.3">
      <c r="B54" s="29">
        <v>45500</v>
      </c>
      <c r="C54" s="10" t="s">
        <v>60</v>
      </c>
      <c r="D54" s="10" t="s">
        <v>83</v>
      </c>
      <c r="E54" s="61"/>
      <c r="F54" s="61">
        <v>1000000</v>
      </c>
    </row>
    <row r="55" spans="2:6" x14ac:dyDescent="0.3">
      <c r="B55" s="10"/>
      <c r="C55" s="10"/>
      <c r="D55" s="10"/>
      <c r="E55" s="61"/>
      <c r="F55" s="61"/>
    </row>
    <row r="56" spans="2:6" s="12" customFormat="1" x14ac:dyDescent="0.3">
      <c r="B56" s="11"/>
      <c r="C56" s="11" t="s">
        <v>6</v>
      </c>
      <c r="D56" s="11"/>
      <c r="E56" s="154">
        <f>SUM(E51:E55)</f>
        <v>0</v>
      </c>
      <c r="F56" s="154">
        <f>SUM(F51:F55)</f>
        <v>3001000</v>
      </c>
    </row>
    <row r="57" spans="2:6" x14ac:dyDescent="0.3">
      <c r="B57" s="10"/>
      <c r="C57" s="10" t="s">
        <v>84</v>
      </c>
      <c r="D57" s="10"/>
      <c r="E57" s="154">
        <f>F56-E56</f>
        <v>3001000</v>
      </c>
      <c r="F57" s="61"/>
    </row>
    <row r="58" spans="2:6" x14ac:dyDescent="0.3">
      <c r="E58" s="159"/>
      <c r="F58" s="159"/>
    </row>
    <row r="59" spans="2:6" x14ac:dyDescent="0.3">
      <c r="E59" s="159"/>
      <c r="F59" s="159"/>
    </row>
    <row r="60" spans="2:6" x14ac:dyDescent="0.3">
      <c r="B60" s="30" t="s">
        <v>17</v>
      </c>
      <c r="E60" s="159"/>
      <c r="F60" s="159"/>
    </row>
    <row r="61" spans="2:6" s="12" customFormat="1" x14ac:dyDescent="0.3">
      <c r="B61" s="31" t="s">
        <v>3</v>
      </c>
      <c r="C61" s="31" t="s">
        <v>1</v>
      </c>
      <c r="D61" s="31" t="s">
        <v>39</v>
      </c>
      <c r="E61" s="160" t="s">
        <v>41</v>
      </c>
      <c r="F61" s="160" t="s">
        <v>42</v>
      </c>
    </row>
    <row r="62" spans="2:6" x14ac:dyDescent="0.3">
      <c r="B62" s="29">
        <v>44827</v>
      </c>
      <c r="C62" s="10" t="s">
        <v>10</v>
      </c>
      <c r="D62" s="10" t="s">
        <v>83</v>
      </c>
      <c r="E62" s="158"/>
      <c r="F62" s="61">
        <v>500000</v>
      </c>
    </row>
    <row r="63" spans="2:6" x14ac:dyDescent="0.3">
      <c r="B63" s="29">
        <v>44831</v>
      </c>
      <c r="C63" s="10" t="s">
        <v>10</v>
      </c>
      <c r="D63" s="10" t="s">
        <v>83</v>
      </c>
      <c r="E63" s="158"/>
      <c r="F63" s="61">
        <v>4000000</v>
      </c>
    </row>
    <row r="64" spans="2:6" x14ac:dyDescent="0.3">
      <c r="B64" s="29">
        <v>44835</v>
      </c>
      <c r="C64" s="10" t="s">
        <v>10</v>
      </c>
      <c r="D64" s="10" t="s">
        <v>83</v>
      </c>
      <c r="E64" s="158"/>
      <c r="F64" s="61">
        <v>1500000</v>
      </c>
    </row>
    <row r="65" spans="2:6" x14ac:dyDescent="0.3">
      <c r="B65" s="29">
        <v>44861</v>
      </c>
      <c r="C65" s="10" t="s">
        <v>10</v>
      </c>
      <c r="D65" s="10" t="s">
        <v>83</v>
      </c>
      <c r="E65" s="158"/>
      <c r="F65" s="61">
        <v>1000000</v>
      </c>
    </row>
    <row r="66" spans="2:6" x14ac:dyDescent="0.3">
      <c r="B66" s="29">
        <v>44880</v>
      </c>
      <c r="C66" s="10" t="s">
        <v>60</v>
      </c>
      <c r="D66" s="10" t="s">
        <v>83</v>
      </c>
      <c r="E66" s="158"/>
      <c r="F66" s="61">
        <v>6000000</v>
      </c>
    </row>
    <row r="67" spans="2:6" x14ac:dyDescent="0.3">
      <c r="B67" s="29">
        <v>44881</v>
      </c>
      <c r="C67" s="10" t="s">
        <v>60</v>
      </c>
      <c r="D67" s="10" t="s">
        <v>83</v>
      </c>
      <c r="E67" s="158"/>
      <c r="F67" s="61">
        <v>6000000</v>
      </c>
    </row>
    <row r="68" spans="2:6" x14ac:dyDescent="0.3">
      <c r="B68" s="29">
        <v>44886</v>
      </c>
      <c r="C68" s="10" t="s">
        <v>60</v>
      </c>
      <c r="D68" s="10" t="s">
        <v>83</v>
      </c>
      <c r="E68" s="158"/>
      <c r="F68" s="61">
        <v>2000000</v>
      </c>
    </row>
    <row r="69" spans="2:6" x14ac:dyDescent="0.3">
      <c r="B69" s="29">
        <v>44902</v>
      </c>
      <c r="C69" s="10" t="s">
        <v>60</v>
      </c>
      <c r="D69" s="10" t="s">
        <v>83</v>
      </c>
      <c r="E69" s="158"/>
      <c r="F69" s="61">
        <v>2000000</v>
      </c>
    </row>
    <row r="70" spans="2:6" x14ac:dyDescent="0.3">
      <c r="B70" s="29">
        <v>45162</v>
      </c>
      <c r="C70" s="10" t="s">
        <v>60</v>
      </c>
      <c r="D70" s="10" t="s">
        <v>83</v>
      </c>
      <c r="E70" s="158"/>
      <c r="F70" s="61">
        <v>2500000</v>
      </c>
    </row>
    <row r="71" spans="2:6" x14ac:dyDescent="0.3">
      <c r="B71" s="29">
        <v>45180</v>
      </c>
      <c r="C71" s="10" t="s">
        <v>60</v>
      </c>
      <c r="D71" s="10" t="s">
        <v>83</v>
      </c>
      <c r="E71" s="158"/>
      <c r="F71" s="61">
        <v>2200000</v>
      </c>
    </row>
    <row r="72" spans="2:6" x14ac:dyDescent="0.3">
      <c r="B72" s="29">
        <v>45190</v>
      </c>
      <c r="C72" s="10" t="s">
        <v>60</v>
      </c>
      <c r="D72" s="10" t="s">
        <v>83</v>
      </c>
      <c r="E72" s="158"/>
      <c r="F72" s="61">
        <v>9000000</v>
      </c>
    </row>
    <row r="73" spans="2:6" x14ac:dyDescent="0.3">
      <c r="B73" s="29">
        <v>45202</v>
      </c>
      <c r="C73" s="10" t="s">
        <v>60</v>
      </c>
      <c r="D73" s="10" t="s">
        <v>83</v>
      </c>
      <c r="E73" s="158"/>
      <c r="F73" s="61">
        <v>3000000</v>
      </c>
    </row>
    <row r="74" spans="2:6" x14ac:dyDescent="0.3">
      <c r="B74" s="29">
        <v>45218</v>
      </c>
      <c r="C74" s="10" t="s">
        <v>60</v>
      </c>
      <c r="D74" s="10" t="s">
        <v>83</v>
      </c>
      <c r="E74" s="158"/>
      <c r="F74" s="61">
        <v>2000000</v>
      </c>
    </row>
    <row r="75" spans="2:6" x14ac:dyDescent="0.3">
      <c r="B75" s="29">
        <v>45232</v>
      </c>
      <c r="C75" s="10" t="s">
        <v>60</v>
      </c>
      <c r="D75" s="10" t="s">
        <v>83</v>
      </c>
      <c r="E75" s="158"/>
      <c r="F75" s="61">
        <v>2500000</v>
      </c>
    </row>
    <row r="76" spans="2:6" x14ac:dyDescent="0.3">
      <c r="B76" s="29">
        <v>45240</v>
      </c>
      <c r="C76" s="10" t="s">
        <v>60</v>
      </c>
      <c r="D76" s="10" t="s">
        <v>83</v>
      </c>
      <c r="E76" s="158"/>
      <c r="F76" s="61">
        <v>2000000</v>
      </c>
    </row>
    <row r="77" spans="2:6" x14ac:dyDescent="0.3">
      <c r="B77" s="29">
        <v>45260</v>
      </c>
      <c r="C77" s="10" t="s">
        <v>60</v>
      </c>
      <c r="D77" s="10" t="s">
        <v>83</v>
      </c>
      <c r="E77" s="158"/>
      <c r="F77" s="61">
        <v>7500000</v>
      </c>
    </row>
    <row r="78" spans="2:6" x14ac:dyDescent="0.3">
      <c r="B78" s="29">
        <v>45282</v>
      </c>
      <c r="C78" s="10" t="s">
        <v>60</v>
      </c>
      <c r="D78" s="10" t="s">
        <v>83</v>
      </c>
      <c r="E78" s="158"/>
      <c r="F78" s="61">
        <v>5000000</v>
      </c>
    </row>
    <row r="79" spans="2:6" x14ac:dyDescent="0.3">
      <c r="B79" s="29">
        <v>45286</v>
      </c>
      <c r="C79" s="10" t="s">
        <v>60</v>
      </c>
      <c r="D79" s="10" t="s">
        <v>83</v>
      </c>
      <c r="E79" s="158"/>
      <c r="F79" s="61">
        <v>17000000</v>
      </c>
    </row>
    <row r="80" spans="2:6" x14ac:dyDescent="0.3">
      <c r="B80" s="29">
        <v>45301</v>
      </c>
      <c r="C80" s="10" t="s">
        <v>60</v>
      </c>
      <c r="D80" s="10" t="s">
        <v>83</v>
      </c>
      <c r="E80" s="158"/>
      <c r="F80" s="61">
        <v>1000000</v>
      </c>
    </row>
    <row r="81" spans="2:6" x14ac:dyDescent="0.3">
      <c r="B81" s="29">
        <v>45321</v>
      </c>
      <c r="C81" s="10" t="s">
        <v>60</v>
      </c>
      <c r="D81" s="10" t="s">
        <v>83</v>
      </c>
      <c r="E81" s="158"/>
      <c r="F81" s="61">
        <v>2000000</v>
      </c>
    </row>
    <row r="82" spans="2:6" x14ac:dyDescent="0.3">
      <c r="B82" s="29">
        <v>45348</v>
      </c>
      <c r="C82" s="10" t="s">
        <v>60</v>
      </c>
      <c r="D82" s="10" t="s">
        <v>83</v>
      </c>
      <c r="E82" s="158"/>
      <c r="F82" s="61">
        <v>1500000</v>
      </c>
    </row>
    <row r="83" spans="2:6" x14ac:dyDescent="0.3">
      <c r="B83" s="29">
        <v>45355</v>
      </c>
      <c r="C83" s="10" t="s">
        <v>60</v>
      </c>
      <c r="D83" s="10" t="s">
        <v>83</v>
      </c>
      <c r="E83" s="158"/>
      <c r="F83" s="61">
        <v>1000000</v>
      </c>
    </row>
    <row r="84" spans="2:6" x14ac:dyDescent="0.3">
      <c r="B84" s="29">
        <v>45365</v>
      </c>
      <c r="C84" s="10" t="s">
        <v>60</v>
      </c>
      <c r="D84" s="10" t="s">
        <v>83</v>
      </c>
      <c r="E84" s="158"/>
      <c r="F84" s="61">
        <v>6000000</v>
      </c>
    </row>
    <row r="85" spans="2:6" x14ac:dyDescent="0.3">
      <c r="B85" s="29">
        <v>45380</v>
      </c>
      <c r="C85" s="10" t="s">
        <v>60</v>
      </c>
      <c r="D85" s="10" t="s">
        <v>83</v>
      </c>
      <c r="E85" s="158"/>
      <c r="F85" s="61">
        <v>1000000</v>
      </c>
    </row>
    <row r="86" spans="2:6" x14ac:dyDescent="0.3">
      <c r="B86" s="29">
        <v>45414</v>
      </c>
      <c r="C86" s="10" t="s">
        <v>60</v>
      </c>
      <c r="D86" s="10" t="s">
        <v>83</v>
      </c>
      <c r="E86" s="158"/>
      <c r="F86" s="61">
        <v>1000000</v>
      </c>
    </row>
    <row r="87" spans="2:6" x14ac:dyDescent="0.3">
      <c r="B87" s="29">
        <v>45425</v>
      </c>
      <c r="C87" s="10" t="s">
        <v>60</v>
      </c>
      <c r="D87" s="10" t="s">
        <v>83</v>
      </c>
      <c r="E87" s="158"/>
      <c r="F87" s="61">
        <v>1000000</v>
      </c>
    </row>
    <row r="88" spans="2:6" x14ac:dyDescent="0.3">
      <c r="B88" s="29">
        <v>45435</v>
      </c>
      <c r="C88" s="10" t="s">
        <v>60</v>
      </c>
      <c r="D88" s="10" t="s">
        <v>83</v>
      </c>
      <c r="E88" s="158"/>
      <c r="F88" s="61">
        <v>1000000</v>
      </c>
    </row>
    <row r="89" spans="2:6" x14ac:dyDescent="0.3">
      <c r="B89" s="29">
        <v>45476</v>
      </c>
      <c r="C89" s="10" t="s">
        <v>60</v>
      </c>
      <c r="D89" s="10" t="s">
        <v>83</v>
      </c>
      <c r="E89" s="158"/>
      <c r="F89" s="61">
        <v>100000</v>
      </c>
    </row>
    <row r="90" spans="2:6" x14ac:dyDescent="0.3">
      <c r="B90" s="29">
        <v>45545</v>
      </c>
      <c r="C90" s="10" t="s">
        <v>60</v>
      </c>
      <c r="D90" s="10" t="s">
        <v>83</v>
      </c>
      <c r="E90" s="158"/>
      <c r="F90" s="61">
        <v>1200000</v>
      </c>
    </row>
    <row r="91" spans="2:6" x14ac:dyDescent="0.3">
      <c r="B91" s="29">
        <v>45545</v>
      </c>
      <c r="C91" s="10" t="s">
        <v>60</v>
      </c>
      <c r="D91" s="10" t="s">
        <v>83</v>
      </c>
      <c r="E91" s="158"/>
      <c r="F91" s="61">
        <v>800000</v>
      </c>
    </row>
    <row r="92" spans="2:6" x14ac:dyDescent="0.3">
      <c r="B92" s="29">
        <v>45588</v>
      </c>
      <c r="C92" s="10" t="s">
        <v>60</v>
      </c>
      <c r="D92" s="10" t="s">
        <v>83</v>
      </c>
      <c r="E92" s="158"/>
      <c r="F92" s="61">
        <v>2500000</v>
      </c>
    </row>
    <row r="93" spans="2:6" x14ac:dyDescent="0.3">
      <c r="B93" s="29">
        <v>45609</v>
      </c>
      <c r="C93" s="10" t="s">
        <v>60</v>
      </c>
      <c r="D93" s="10" t="s">
        <v>83</v>
      </c>
      <c r="E93" s="158"/>
      <c r="F93" s="61">
        <v>3000000</v>
      </c>
    </row>
    <row r="94" spans="2:6" x14ac:dyDescent="0.3">
      <c r="B94" s="29">
        <v>45624</v>
      </c>
      <c r="C94" s="10" t="s">
        <v>60</v>
      </c>
      <c r="D94" s="10" t="s">
        <v>83</v>
      </c>
      <c r="E94" s="158"/>
      <c r="F94" s="61">
        <v>2500000</v>
      </c>
    </row>
    <row r="95" spans="2:6" x14ac:dyDescent="0.3">
      <c r="B95" s="29">
        <v>45625</v>
      </c>
      <c r="C95" s="10" t="s">
        <v>60</v>
      </c>
      <c r="D95" s="10" t="s">
        <v>83</v>
      </c>
      <c r="E95" s="158"/>
      <c r="F95" s="61">
        <v>1000000</v>
      </c>
    </row>
    <row r="96" spans="2:6" x14ac:dyDescent="0.3">
      <c r="B96" s="29">
        <v>45628</v>
      </c>
      <c r="C96" s="10" t="s">
        <v>60</v>
      </c>
      <c r="D96" s="10" t="s">
        <v>83</v>
      </c>
      <c r="E96" s="158"/>
      <c r="F96" s="61">
        <v>3000000</v>
      </c>
    </row>
    <row r="97" spans="2:6" x14ac:dyDescent="0.3">
      <c r="B97" s="29">
        <v>45632</v>
      </c>
      <c r="C97" s="10" t="s">
        <v>60</v>
      </c>
      <c r="D97" s="10" t="s">
        <v>83</v>
      </c>
      <c r="E97" s="158"/>
      <c r="F97" s="61">
        <v>4000000</v>
      </c>
    </row>
    <row r="98" spans="2:6" x14ac:dyDescent="0.3">
      <c r="B98" s="29">
        <v>45650</v>
      </c>
      <c r="C98" s="10" t="s">
        <v>60</v>
      </c>
      <c r="D98" s="10" t="s">
        <v>83</v>
      </c>
      <c r="E98" s="158"/>
      <c r="F98" s="61">
        <v>25000000</v>
      </c>
    </row>
    <row r="99" spans="2:6" x14ac:dyDescent="0.3">
      <c r="B99" s="29">
        <v>45659</v>
      </c>
      <c r="C99" s="10" t="s">
        <v>60</v>
      </c>
      <c r="D99" s="10" t="s">
        <v>83</v>
      </c>
      <c r="E99" s="158"/>
      <c r="F99" s="61">
        <v>2000000</v>
      </c>
    </row>
    <row r="100" spans="2:6" x14ac:dyDescent="0.3">
      <c r="B100" s="29">
        <v>45670</v>
      </c>
      <c r="C100" s="10" t="s">
        <v>60</v>
      </c>
      <c r="D100" s="10" t="s">
        <v>43</v>
      </c>
      <c r="E100" s="61">
        <v>20750000</v>
      </c>
      <c r="F100" s="61"/>
    </row>
    <row r="101" spans="2:6" x14ac:dyDescent="0.3">
      <c r="B101" s="29">
        <v>45684</v>
      </c>
      <c r="C101" s="10" t="s">
        <v>60</v>
      </c>
      <c r="D101" s="10" t="s">
        <v>83</v>
      </c>
      <c r="E101" s="158"/>
      <c r="F101" s="61">
        <v>3000000</v>
      </c>
    </row>
    <row r="102" spans="2:6" x14ac:dyDescent="0.3">
      <c r="B102" s="29">
        <v>45694</v>
      </c>
      <c r="C102" s="10" t="s">
        <v>60</v>
      </c>
      <c r="D102" s="10" t="s">
        <v>83</v>
      </c>
      <c r="E102" s="158"/>
      <c r="F102" s="61">
        <v>3000000</v>
      </c>
    </row>
    <row r="103" spans="2:6" x14ac:dyDescent="0.3">
      <c r="B103" s="29">
        <v>45713</v>
      </c>
      <c r="C103" s="10" t="s">
        <v>60</v>
      </c>
      <c r="D103" s="10" t="s">
        <v>83</v>
      </c>
      <c r="E103" s="158"/>
      <c r="F103" s="61">
        <v>3000000</v>
      </c>
    </row>
    <row r="104" spans="2:6" x14ac:dyDescent="0.3">
      <c r="B104" s="29">
        <v>45716</v>
      </c>
      <c r="C104" s="10" t="s">
        <v>60</v>
      </c>
      <c r="D104" s="10" t="s">
        <v>83</v>
      </c>
      <c r="E104" s="158"/>
      <c r="F104" s="61">
        <v>2000000</v>
      </c>
    </row>
    <row r="105" spans="2:6" x14ac:dyDescent="0.3">
      <c r="B105" s="29">
        <v>45719</v>
      </c>
      <c r="C105" s="10" t="s">
        <v>60</v>
      </c>
      <c r="D105" s="10" t="s">
        <v>83</v>
      </c>
      <c r="E105" s="158"/>
      <c r="F105" s="61">
        <v>20000000</v>
      </c>
    </row>
    <row r="106" spans="2:6" x14ac:dyDescent="0.3">
      <c r="B106" s="29">
        <v>45736</v>
      </c>
      <c r="C106" s="10" t="s">
        <v>60</v>
      </c>
      <c r="D106" s="10" t="s">
        <v>83</v>
      </c>
      <c r="E106" s="158"/>
      <c r="F106" s="61">
        <v>2000000</v>
      </c>
    </row>
    <row r="107" spans="2:6" x14ac:dyDescent="0.3">
      <c r="B107" s="29">
        <v>45745</v>
      </c>
      <c r="C107" s="10" t="s">
        <v>60</v>
      </c>
      <c r="D107" s="10" t="s">
        <v>83</v>
      </c>
      <c r="E107" s="158"/>
      <c r="F107" s="61">
        <v>2000000</v>
      </c>
    </row>
    <row r="108" spans="2:6" x14ac:dyDescent="0.3">
      <c r="B108" s="29">
        <v>45749</v>
      </c>
      <c r="C108" s="10" t="s">
        <v>60</v>
      </c>
      <c r="D108" s="10" t="s">
        <v>83</v>
      </c>
      <c r="E108" s="158"/>
      <c r="F108" s="61">
        <v>12000000</v>
      </c>
    </row>
    <row r="109" spans="2:6" x14ac:dyDescent="0.3">
      <c r="B109" s="29">
        <v>45772</v>
      </c>
      <c r="C109" s="10" t="s">
        <v>60</v>
      </c>
      <c r="D109" s="10" t="s">
        <v>83</v>
      </c>
      <c r="E109" s="158"/>
      <c r="F109" s="61">
        <v>2500000</v>
      </c>
    </row>
    <row r="110" spans="2:6" x14ac:dyDescent="0.3">
      <c r="B110" s="29">
        <v>45778</v>
      </c>
      <c r="C110" s="10" t="s">
        <v>60</v>
      </c>
      <c r="D110" s="10" t="s">
        <v>83</v>
      </c>
      <c r="E110" s="158"/>
      <c r="F110" s="61">
        <v>1000000</v>
      </c>
    </row>
    <row r="111" spans="2:6" x14ac:dyDescent="0.3">
      <c r="B111" s="29">
        <v>45798</v>
      </c>
      <c r="C111" s="10" t="s">
        <v>60</v>
      </c>
      <c r="D111" s="10" t="s">
        <v>83</v>
      </c>
      <c r="E111" s="158"/>
      <c r="F111" s="61">
        <v>2000000</v>
      </c>
    </row>
    <row r="112" spans="2:6" x14ac:dyDescent="0.3">
      <c r="B112" s="29">
        <v>45806</v>
      </c>
      <c r="C112" s="10" t="s">
        <v>60</v>
      </c>
      <c r="D112" s="10" t="s">
        <v>83</v>
      </c>
      <c r="E112" s="158"/>
      <c r="F112" s="61">
        <v>3000000</v>
      </c>
    </row>
    <row r="113" spans="2:6" x14ac:dyDescent="0.3">
      <c r="B113" s="29">
        <v>45817</v>
      </c>
      <c r="C113" s="10" t="s">
        <v>60</v>
      </c>
      <c r="D113" s="10" t="s">
        <v>83</v>
      </c>
      <c r="E113" s="158"/>
      <c r="F113" s="61">
        <v>3000000</v>
      </c>
    </row>
    <row r="114" spans="2:6" x14ac:dyDescent="0.3">
      <c r="B114" s="29">
        <v>45838</v>
      </c>
      <c r="C114" s="10" t="s">
        <v>60</v>
      </c>
      <c r="D114" s="10" t="s">
        <v>83</v>
      </c>
      <c r="E114" s="158"/>
      <c r="F114" s="61">
        <v>3500000</v>
      </c>
    </row>
    <row r="115" spans="2:6" x14ac:dyDescent="0.3">
      <c r="B115" s="29">
        <v>45868</v>
      </c>
      <c r="C115" s="10" t="s">
        <v>60</v>
      </c>
      <c r="D115" s="10" t="s">
        <v>83</v>
      </c>
      <c r="E115" s="158"/>
      <c r="F115" s="61">
        <v>4000000</v>
      </c>
    </row>
    <row r="116" spans="2:6" x14ac:dyDescent="0.3">
      <c r="B116" s="29">
        <v>45875</v>
      </c>
      <c r="C116" s="10" t="s">
        <v>60</v>
      </c>
      <c r="D116" s="10" t="s">
        <v>83</v>
      </c>
      <c r="E116" s="158"/>
      <c r="F116" s="61">
        <v>1500000</v>
      </c>
    </row>
    <row r="117" spans="2:6" x14ac:dyDescent="0.3">
      <c r="B117" s="29">
        <v>45887</v>
      </c>
      <c r="C117" s="10" t="s">
        <v>60</v>
      </c>
      <c r="D117" s="10" t="s">
        <v>83</v>
      </c>
      <c r="E117" s="158"/>
      <c r="F117" s="61">
        <v>10000000</v>
      </c>
    </row>
    <row r="118" spans="2:6" x14ac:dyDescent="0.3">
      <c r="B118" s="29">
        <v>45905</v>
      </c>
      <c r="C118" s="10" t="s">
        <v>60</v>
      </c>
      <c r="D118" s="10" t="s">
        <v>83</v>
      </c>
      <c r="E118" s="158"/>
      <c r="F118" s="61">
        <v>1000000</v>
      </c>
    </row>
    <row r="119" spans="2:6" x14ac:dyDescent="0.3">
      <c r="B119" s="29">
        <v>45933</v>
      </c>
      <c r="C119" s="10" t="s">
        <v>60</v>
      </c>
      <c r="D119" s="10" t="s">
        <v>83</v>
      </c>
      <c r="E119" s="158"/>
      <c r="F119" s="61">
        <v>3000000</v>
      </c>
    </row>
    <row r="120" spans="2:6" x14ac:dyDescent="0.3">
      <c r="B120" s="29">
        <v>45933</v>
      </c>
      <c r="C120" s="10" t="s">
        <v>60</v>
      </c>
      <c r="D120" s="10" t="s">
        <v>83</v>
      </c>
      <c r="E120" s="158"/>
      <c r="F120" s="61">
        <v>1000000</v>
      </c>
    </row>
    <row r="121" spans="2:6" x14ac:dyDescent="0.3">
      <c r="B121" s="29">
        <v>45945</v>
      </c>
      <c r="C121" s="10" t="s">
        <v>60</v>
      </c>
      <c r="D121" s="10" t="s">
        <v>83</v>
      </c>
      <c r="E121" s="158"/>
      <c r="F121" s="61">
        <v>1500000</v>
      </c>
    </row>
    <row r="122" spans="2:6" x14ac:dyDescent="0.3">
      <c r="B122" s="29">
        <v>45962</v>
      </c>
      <c r="C122" s="10" t="s">
        <v>60</v>
      </c>
      <c r="D122" s="10" t="s">
        <v>83</v>
      </c>
      <c r="E122" s="158"/>
      <c r="F122" s="61">
        <v>3000000</v>
      </c>
    </row>
    <row r="123" spans="2:6" x14ac:dyDescent="0.3">
      <c r="B123" s="29">
        <v>45967</v>
      </c>
      <c r="C123" s="10" t="s">
        <v>60</v>
      </c>
      <c r="D123" s="10" t="s">
        <v>83</v>
      </c>
      <c r="E123" s="158"/>
      <c r="F123" s="61">
        <v>500000</v>
      </c>
    </row>
    <row r="124" spans="2:6" x14ac:dyDescent="0.3">
      <c r="B124" s="29">
        <v>45976</v>
      </c>
      <c r="C124" s="10" t="s">
        <v>60</v>
      </c>
      <c r="D124" s="10" t="s">
        <v>83</v>
      </c>
      <c r="E124" s="158"/>
      <c r="F124" s="61">
        <v>1000000</v>
      </c>
    </row>
    <row r="125" spans="2:6" x14ac:dyDescent="0.3">
      <c r="B125" s="29">
        <v>45992</v>
      </c>
      <c r="C125" s="10" t="s">
        <v>345</v>
      </c>
      <c r="D125" s="10" t="s">
        <v>83</v>
      </c>
      <c r="E125" s="158"/>
      <c r="F125" s="61">
        <v>3500000</v>
      </c>
    </row>
    <row r="126" spans="2:6" x14ac:dyDescent="0.3">
      <c r="B126" s="29">
        <v>45996</v>
      </c>
      <c r="C126" s="10" t="s">
        <v>345</v>
      </c>
      <c r="D126" s="10" t="s">
        <v>83</v>
      </c>
      <c r="E126" s="158"/>
      <c r="F126" s="61">
        <v>5000000</v>
      </c>
    </row>
    <row r="127" spans="2:6" x14ac:dyDescent="0.3">
      <c r="B127" s="29">
        <v>45997</v>
      </c>
      <c r="C127" s="10" t="s">
        <v>345</v>
      </c>
      <c r="D127" s="10" t="s">
        <v>83</v>
      </c>
      <c r="E127" s="158"/>
      <c r="F127" s="61">
        <v>7000000</v>
      </c>
    </row>
    <row r="128" spans="2:6" x14ac:dyDescent="0.3">
      <c r="B128" s="29">
        <v>46022</v>
      </c>
      <c r="C128" s="10" t="s">
        <v>345</v>
      </c>
      <c r="D128" s="10" t="s">
        <v>83</v>
      </c>
      <c r="E128" s="158"/>
      <c r="F128" s="61">
        <v>4000000</v>
      </c>
    </row>
    <row r="129" spans="2:6" x14ac:dyDescent="0.3">
      <c r="B129" s="29">
        <v>46035</v>
      </c>
      <c r="C129" s="10" t="s">
        <v>345</v>
      </c>
      <c r="D129" s="10" t="s">
        <v>83</v>
      </c>
      <c r="E129" s="158"/>
      <c r="F129" s="61">
        <v>5000000</v>
      </c>
    </row>
    <row r="130" spans="2:6" x14ac:dyDescent="0.3">
      <c r="B130" s="29">
        <v>46053</v>
      </c>
      <c r="C130" s="10" t="s">
        <v>345</v>
      </c>
      <c r="D130" s="10" t="s">
        <v>83</v>
      </c>
      <c r="E130" s="158"/>
      <c r="F130" s="61">
        <v>4000000</v>
      </c>
    </row>
    <row r="131" spans="2:6" x14ac:dyDescent="0.3">
      <c r="B131" s="29">
        <v>46059</v>
      </c>
      <c r="C131" s="10" t="s">
        <v>345</v>
      </c>
      <c r="D131" s="10" t="s">
        <v>83</v>
      </c>
      <c r="E131" s="158"/>
      <c r="F131" s="61">
        <v>4500000</v>
      </c>
    </row>
    <row r="132" spans="2:6" x14ac:dyDescent="0.3">
      <c r="B132" s="29">
        <v>46074</v>
      </c>
      <c r="C132" s="10" t="s">
        <v>345</v>
      </c>
      <c r="D132" s="10" t="s">
        <v>83</v>
      </c>
      <c r="E132" s="158"/>
      <c r="F132" s="61">
        <v>2000000</v>
      </c>
    </row>
    <row r="133" spans="2:6" x14ac:dyDescent="0.3">
      <c r="B133" s="29">
        <v>46081</v>
      </c>
      <c r="C133" s="10" t="s">
        <v>345</v>
      </c>
      <c r="D133" s="10" t="s">
        <v>83</v>
      </c>
      <c r="E133" s="158"/>
      <c r="F133" s="61">
        <v>5000000</v>
      </c>
    </row>
    <row r="134" spans="2:6" x14ac:dyDescent="0.3">
      <c r="B134" s="29">
        <v>46086</v>
      </c>
      <c r="C134" s="10" t="s">
        <v>345</v>
      </c>
      <c r="D134" s="10" t="s">
        <v>83</v>
      </c>
      <c r="E134" s="158"/>
      <c r="F134" s="61">
        <v>5000000</v>
      </c>
    </row>
    <row r="135" spans="2:6" x14ac:dyDescent="0.3">
      <c r="B135" s="29">
        <v>46091</v>
      </c>
      <c r="C135" s="10" t="s">
        <v>345</v>
      </c>
      <c r="D135" s="10" t="s">
        <v>83</v>
      </c>
      <c r="E135" s="158"/>
      <c r="F135" s="61">
        <v>2000000</v>
      </c>
    </row>
    <row r="136" spans="2:6" x14ac:dyDescent="0.3">
      <c r="B136" s="29">
        <v>46092</v>
      </c>
      <c r="C136" s="10" t="s">
        <v>345</v>
      </c>
      <c r="D136" s="10" t="s">
        <v>83</v>
      </c>
      <c r="E136" s="158"/>
      <c r="F136" s="61">
        <v>500000</v>
      </c>
    </row>
    <row r="137" spans="2:6" x14ac:dyDescent="0.3">
      <c r="B137" s="29">
        <v>46100</v>
      </c>
      <c r="C137" s="10" t="s">
        <v>345</v>
      </c>
      <c r="D137" s="10" t="s">
        <v>83</v>
      </c>
      <c r="E137" s="158"/>
      <c r="F137" s="61">
        <v>3000000</v>
      </c>
    </row>
    <row r="138" spans="2:6" x14ac:dyDescent="0.3">
      <c r="B138" s="29">
        <v>46114</v>
      </c>
      <c r="C138" s="10" t="s">
        <v>345</v>
      </c>
      <c r="D138" s="10" t="s">
        <v>83</v>
      </c>
      <c r="E138" s="158"/>
      <c r="F138" s="61">
        <v>2500000</v>
      </c>
    </row>
    <row r="139" spans="2:6" x14ac:dyDescent="0.3">
      <c r="B139" s="29">
        <v>46118</v>
      </c>
      <c r="C139" s="10" t="s">
        <v>345</v>
      </c>
      <c r="D139" s="10" t="s">
        <v>83</v>
      </c>
      <c r="E139" s="158"/>
      <c r="F139" s="61">
        <v>10000000</v>
      </c>
    </row>
    <row r="140" spans="2:6" x14ac:dyDescent="0.3">
      <c r="B140" s="29">
        <v>46129</v>
      </c>
      <c r="C140" s="10" t="s">
        <v>345</v>
      </c>
      <c r="D140" s="10" t="s">
        <v>83</v>
      </c>
      <c r="E140" s="158"/>
      <c r="F140" s="61">
        <v>3000000</v>
      </c>
    </row>
    <row r="141" spans="2:6" x14ac:dyDescent="0.3">
      <c r="B141" s="29">
        <v>46142</v>
      </c>
      <c r="C141" s="10" t="s">
        <v>345</v>
      </c>
      <c r="D141" s="10" t="s">
        <v>83</v>
      </c>
      <c r="E141" s="158"/>
      <c r="F141" s="61">
        <v>3000000</v>
      </c>
    </row>
    <row r="142" spans="2:6" x14ac:dyDescent="0.3">
      <c r="B142" s="29">
        <v>46148</v>
      </c>
      <c r="C142" s="10" t="s">
        <v>345</v>
      </c>
      <c r="D142" s="10" t="s">
        <v>83</v>
      </c>
      <c r="E142" s="158"/>
      <c r="F142" s="61">
        <v>5400000</v>
      </c>
    </row>
    <row r="143" spans="2:6" x14ac:dyDescent="0.3">
      <c r="B143" s="29">
        <v>46153</v>
      </c>
      <c r="C143" s="10" t="s">
        <v>345</v>
      </c>
      <c r="D143" s="10" t="s">
        <v>83</v>
      </c>
      <c r="E143" s="158"/>
      <c r="F143" s="61">
        <v>3000000</v>
      </c>
    </row>
    <row r="144" spans="2:6" x14ac:dyDescent="0.3">
      <c r="B144" s="29">
        <v>46163</v>
      </c>
      <c r="C144" s="10" t="s">
        <v>345</v>
      </c>
      <c r="D144" s="10" t="s">
        <v>83</v>
      </c>
      <c r="E144" s="158"/>
      <c r="F144" s="61">
        <v>5000000</v>
      </c>
    </row>
    <row r="145" spans="2:8" x14ac:dyDescent="0.3">
      <c r="B145" s="29">
        <v>46164</v>
      </c>
      <c r="C145" s="10" t="s">
        <v>345</v>
      </c>
      <c r="D145" s="10" t="s">
        <v>83</v>
      </c>
      <c r="E145" s="158"/>
      <c r="F145" s="61">
        <v>3000000</v>
      </c>
    </row>
    <row r="146" spans="2:8" x14ac:dyDescent="0.3">
      <c r="B146" s="29">
        <v>46174</v>
      </c>
      <c r="C146" s="10" t="s">
        <v>345</v>
      </c>
      <c r="D146" s="10" t="s">
        <v>83</v>
      </c>
      <c r="E146" s="158"/>
      <c r="F146" s="61">
        <v>3000000</v>
      </c>
    </row>
    <row r="147" spans="2:8" x14ac:dyDescent="0.3">
      <c r="B147" s="29">
        <v>46177</v>
      </c>
      <c r="C147" s="10" t="s">
        <v>345</v>
      </c>
      <c r="D147" s="10" t="s">
        <v>83</v>
      </c>
      <c r="E147" s="158"/>
      <c r="F147" s="61">
        <v>4000000</v>
      </c>
    </row>
    <row r="148" spans="2:8" x14ac:dyDescent="0.3">
      <c r="B148" s="29">
        <v>46177</v>
      </c>
      <c r="C148" s="10" t="s">
        <v>345</v>
      </c>
      <c r="D148" s="10" t="s">
        <v>83</v>
      </c>
      <c r="E148" s="158"/>
      <c r="F148" s="61">
        <v>2300000</v>
      </c>
    </row>
    <row r="149" spans="2:8" x14ac:dyDescent="0.3">
      <c r="B149" s="29">
        <v>46185</v>
      </c>
      <c r="C149" s="10" t="s">
        <v>345</v>
      </c>
      <c r="D149" s="10" t="s">
        <v>83</v>
      </c>
      <c r="E149" s="158"/>
      <c r="F149" s="61">
        <v>2000000</v>
      </c>
    </row>
    <row r="150" spans="2:8" x14ac:dyDescent="0.3">
      <c r="B150" s="29">
        <v>46190</v>
      </c>
      <c r="C150" s="10" t="s">
        <v>345</v>
      </c>
      <c r="D150" s="10" t="s">
        <v>83</v>
      </c>
      <c r="E150" s="158"/>
      <c r="F150" s="61">
        <v>2000000</v>
      </c>
    </row>
    <row r="151" spans="2:8" x14ac:dyDescent="0.3">
      <c r="B151" s="29">
        <v>46196</v>
      </c>
      <c r="C151" s="10" t="s">
        <v>345</v>
      </c>
      <c r="D151" s="10" t="s">
        <v>83</v>
      </c>
      <c r="E151" s="158"/>
      <c r="F151" s="61">
        <v>2500000</v>
      </c>
    </row>
    <row r="152" spans="2:8" x14ac:dyDescent="0.3">
      <c r="B152" s="29">
        <v>46204</v>
      </c>
      <c r="C152" s="10" t="s">
        <v>345</v>
      </c>
      <c r="D152" s="10" t="s">
        <v>83</v>
      </c>
      <c r="E152" s="158"/>
      <c r="F152" s="61">
        <v>2500000</v>
      </c>
    </row>
    <row r="153" spans="2:8" x14ac:dyDescent="0.3">
      <c r="B153" s="29">
        <v>46209</v>
      </c>
      <c r="C153" s="10" t="s">
        <v>345</v>
      </c>
      <c r="D153" s="10" t="s">
        <v>83</v>
      </c>
      <c r="E153" s="158"/>
      <c r="F153" s="61">
        <v>6500000</v>
      </c>
    </row>
    <row r="154" spans="2:8" x14ac:dyDescent="0.3">
      <c r="B154" s="29">
        <v>46212</v>
      </c>
      <c r="C154" s="10" t="s">
        <v>345</v>
      </c>
      <c r="D154" s="10" t="s">
        <v>83</v>
      </c>
      <c r="E154" s="158"/>
      <c r="F154" s="61">
        <v>3000000</v>
      </c>
    </row>
    <row r="155" spans="2:8" x14ac:dyDescent="0.3">
      <c r="B155" s="29">
        <v>46219</v>
      </c>
      <c r="C155" s="10" t="s">
        <v>345</v>
      </c>
      <c r="D155" s="10" t="s">
        <v>83</v>
      </c>
      <c r="E155" s="158"/>
      <c r="F155" s="61">
        <v>3000000</v>
      </c>
    </row>
    <row r="156" spans="2:8" x14ac:dyDescent="0.3">
      <c r="B156" s="29">
        <v>46223</v>
      </c>
      <c r="C156" s="10" t="s">
        <v>345</v>
      </c>
      <c r="D156" s="10" t="s">
        <v>83</v>
      </c>
      <c r="E156" s="158"/>
      <c r="F156" s="61">
        <v>2500000</v>
      </c>
    </row>
    <row r="157" spans="2:8" x14ac:dyDescent="0.3">
      <c r="B157" s="29"/>
      <c r="C157" s="10"/>
      <c r="D157" s="10"/>
      <c r="E157" s="158"/>
      <c r="F157" s="61"/>
    </row>
    <row r="158" spans="2:8" s="12" customFormat="1" x14ac:dyDescent="0.3">
      <c r="B158" s="11"/>
      <c r="C158" s="11" t="s">
        <v>6</v>
      </c>
      <c r="D158" s="11"/>
      <c r="E158" s="154">
        <f>SUM(E62:E156)</f>
        <v>20750000</v>
      </c>
      <c r="F158" s="154">
        <f>SUM(F62:F156)</f>
        <v>343500000</v>
      </c>
      <c r="G158" s="8"/>
      <c r="H158" s="162"/>
    </row>
    <row r="159" spans="2:8" s="12" customFormat="1" x14ac:dyDescent="0.3">
      <c r="B159" s="11"/>
      <c r="C159" s="11" t="s">
        <v>84</v>
      </c>
      <c r="D159" s="11"/>
      <c r="E159" s="161">
        <f>F158-E158</f>
        <v>322750000</v>
      </c>
      <c r="F159" s="161"/>
      <c r="G159" s="8"/>
    </row>
    <row r="160" spans="2:8" x14ac:dyDescent="0.3">
      <c r="E160" s="159"/>
      <c r="F160" s="159"/>
    </row>
    <row r="161" spans="2:6" s="12" customFormat="1" x14ac:dyDescent="0.3">
      <c r="B161" s="30" t="s">
        <v>97</v>
      </c>
      <c r="E161" s="162"/>
      <c r="F161" s="162"/>
    </row>
    <row r="162" spans="2:6" x14ac:dyDescent="0.3">
      <c r="B162" s="31" t="s">
        <v>3</v>
      </c>
      <c r="C162" s="31" t="s">
        <v>1</v>
      </c>
      <c r="D162" s="31" t="s">
        <v>39</v>
      </c>
      <c r="E162" s="160" t="s">
        <v>41</v>
      </c>
      <c r="F162" s="160" t="s">
        <v>42</v>
      </c>
    </row>
    <row r="163" spans="2:6" x14ac:dyDescent="0.3">
      <c r="B163" s="29">
        <v>45477</v>
      </c>
      <c r="C163" s="10" t="s">
        <v>61</v>
      </c>
      <c r="D163" s="10" t="s">
        <v>86</v>
      </c>
      <c r="E163" s="61"/>
      <c r="F163" s="61">
        <v>67290346</v>
      </c>
    </row>
    <row r="164" spans="2:6" x14ac:dyDescent="0.3">
      <c r="B164" s="29">
        <v>45488</v>
      </c>
      <c r="C164" s="10" t="s">
        <v>61</v>
      </c>
      <c r="D164" s="10" t="s">
        <v>86</v>
      </c>
      <c r="E164" s="61"/>
      <c r="F164" s="61">
        <v>12693494</v>
      </c>
    </row>
    <row r="165" spans="2:6" x14ac:dyDescent="0.3">
      <c r="B165" s="29">
        <v>45492</v>
      </c>
      <c r="C165" s="10" t="s">
        <v>61</v>
      </c>
      <c r="D165" s="10" t="s">
        <v>86</v>
      </c>
      <c r="E165" s="61"/>
      <c r="F165" s="61">
        <v>1438278</v>
      </c>
    </row>
    <row r="166" spans="2:6" x14ac:dyDescent="0.3">
      <c r="B166" s="29">
        <v>45493</v>
      </c>
      <c r="C166" s="10" t="s">
        <v>61</v>
      </c>
      <c r="D166" s="10" t="s">
        <v>86</v>
      </c>
      <c r="E166" s="61"/>
      <c r="F166" s="61">
        <v>19920000</v>
      </c>
    </row>
    <row r="167" spans="2:6" x14ac:dyDescent="0.3">
      <c r="B167" s="29">
        <v>45503</v>
      </c>
      <c r="C167" s="10" t="s">
        <v>61</v>
      </c>
      <c r="D167" s="10" t="s">
        <v>86</v>
      </c>
      <c r="E167" s="61"/>
      <c r="F167" s="61">
        <v>5553375</v>
      </c>
    </row>
    <row r="168" spans="2:6" x14ac:dyDescent="0.3">
      <c r="B168" s="29">
        <v>45537</v>
      </c>
      <c r="C168" s="10" t="s">
        <v>61</v>
      </c>
      <c r="D168" s="10" t="s">
        <v>86</v>
      </c>
      <c r="E168" s="61"/>
      <c r="F168" s="61">
        <v>16591661</v>
      </c>
    </row>
    <row r="169" spans="2:6" x14ac:dyDescent="0.3">
      <c r="B169" s="29">
        <v>45554</v>
      </c>
      <c r="C169" s="10" t="s">
        <v>61</v>
      </c>
      <c r="D169" s="10" t="s">
        <v>86</v>
      </c>
      <c r="E169" s="61"/>
      <c r="F169" s="61">
        <v>704850</v>
      </c>
    </row>
    <row r="170" spans="2:6" x14ac:dyDescent="0.3">
      <c r="B170" s="29">
        <v>45568</v>
      </c>
      <c r="C170" s="10" t="s">
        <v>61</v>
      </c>
      <c r="D170" s="10" t="s">
        <v>86</v>
      </c>
      <c r="E170" s="61"/>
      <c r="F170" s="61">
        <v>13023090</v>
      </c>
    </row>
    <row r="171" spans="2:6" x14ac:dyDescent="0.3">
      <c r="B171" s="29">
        <v>45586</v>
      </c>
      <c r="C171" s="10" t="s">
        <v>61</v>
      </c>
      <c r="D171" s="10" t="s">
        <v>86</v>
      </c>
      <c r="E171" s="61"/>
      <c r="F171" s="61">
        <v>2062703</v>
      </c>
    </row>
    <row r="172" spans="2:6" x14ac:dyDescent="0.3">
      <c r="B172" s="29">
        <v>45597</v>
      </c>
      <c r="C172" s="10" t="s">
        <v>61</v>
      </c>
      <c r="D172" s="10" t="s">
        <v>86</v>
      </c>
      <c r="E172" s="61"/>
      <c r="F172" s="61">
        <v>2543330</v>
      </c>
    </row>
    <row r="173" spans="2:6" x14ac:dyDescent="0.3">
      <c r="B173" s="29">
        <v>45633</v>
      </c>
      <c r="C173" s="10" t="s">
        <v>61</v>
      </c>
      <c r="D173" s="10" t="s">
        <v>86</v>
      </c>
      <c r="E173" s="61"/>
      <c r="F173" s="61">
        <v>18526647</v>
      </c>
    </row>
    <row r="174" spans="2:6" x14ac:dyDescent="0.3">
      <c r="B174" s="29">
        <v>45637</v>
      </c>
      <c r="C174" s="10" t="s">
        <v>61</v>
      </c>
      <c r="D174" s="10" t="s">
        <v>86</v>
      </c>
      <c r="E174" s="61"/>
      <c r="F174" s="61">
        <v>4460103</v>
      </c>
    </row>
    <row r="175" spans="2:6" x14ac:dyDescent="0.3">
      <c r="B175" s="29">
        <v>45647</v>
      </c>
      <c r="C175" s="10" t="s">
        <v>61</v>
      </c>
      <c r="D175" s="10" t="s">
        <v>86</v>
      </c>
      <c r="E175" s="61"/>
      <c r="F175" s="61">
        <v>3192788</v>
      </c>
    </row>
    <row r="176" spans="2:6" x14ac:dyDescent="0.3">
      <c r="B176" s="29">
        <v>45657</v>
      </c>
      <c r="C176" s="10" t="s">
        <v>61</v>
      </c>
      <c r="D176" s="10" t="s">
        <v>86</v>
      </c>
      <c r="E176" s="61"/>
      <c r="F176" s="61">
        <v>3273448</v>
      </c>
    </row>
    <row r="177" spans="2:6" x14ac:dyDescent="0.3">
      <c r="B177" s="29">
        <v>45686</v>
      </c>
      <c r="C177" s="10" t="s">
        <v>61</v>
      </c>
      <c r="D177" s="10" t="s">
        <v>86</v>
      </c>
      <c r="E177" s="61"/>
      <c r="F177" s="61">
        <v>3780450</v>
      </c>
    </row>
    <row r="178" spans="2:6" x14ac:dyDescent="0.3">
      <c r="B178" s="29">
        <v>45726</v>
      </c>
      <c r="C178" s="10" t="s">
        <v>61</v>
      </c>
      <c r="D178" s="10" t="s">
        <v>86</v>
      </c>
      <c r="E178" s="61"/>
      <c r="F178" s="61">
        <v>26546625</v>
      </c>
    </row>
    <row r="179" spans="2:6" x14ac:dyDescent="0.3">
      <c r="B179" s="29">
        <v>45758</v>
      </c>
      <c r="C179" s="10" t="s">
        <v>61</v>
      </c>
      <c r="D179" s="10" t="s">
        <v>86</v>
      </c>
      <c r="E179" s="61"/>
      <c r="F179" s="61">
        <v>750125</v>
      </c>
    </row>
    <row r="180" spans="2:6" x14ac:dyDescent="0.3">
      <c r="B180" s="29">
        <v>45764</v>
      </c>
      <c r="C180" s="10" t="s">
        <v>61</v>
      </c>
      <c r="D180" s="10" t="s">
        <v>86</v>
      </c>
      <c r="E180" s="61"/>
      <c r="F180" s="61">
        <v>964511</v>
      </c>
    </row>
    <row r="181" spans="2:6" x14ac:dyDescent="0.3">
      <c r="B181" s="29">
        <v>45771</v>
      </c>
      <c r="C181" s="10" t="s">
        <v>61</v>
      </c>
      <c r="D181" s="10" t="s">
        <v>86</v>
      </c>
      <c r="E181" s="61"/>
      <c r="F181" s="61">
        <v>7967181</v>
      </c>
    </row>
    <row r="182" spans="2:6" x14ac:dyDescent="0.3">
      <c r="B182" s="29">
        <v>45783</v>
      </c>
      <c r="C182" s="10" t="s">
        <v>61</v>
      </c>
      <c r="D182" s="10" t="s">
        <v>86</v>
      </c>
      <c r="E182" s="61"/>
      <c r="F182" s="61">
        <v>5584148</v>
      </c>
    </row>
    <row r="183" spans="2:6" x14ac:dyDescent="0.3">
      <c r="B183" s="29">
        <v>45840</v>
      </c>
      <c r="C183" s="10" t="s">
        <v>61</v>
      </c>
      <c r="D183" s="10" t="s">
        <v>86</v>
      </c>
      <c r="E183" s="61"/>
      <c r="F183" s="61">
        <v>5929500</v>
      </c>
    </row>
    <row r="184" spans="2:6" x14ac:dyDescent="0.3">
      <c r="B184" s="29">
        <v>45855</v>
      </c>
      <c r="C184" s="10" t="s">
        <v>61</v>
      </c>
      <c r="D184" s="10" t="s">
        <v>86</v>
      </c>
      <c r="E184" s="61"/>
      <c r="F184" s="61">
        <v>5839009</v>
      </c>
    </row>
    <row r="185" spans="2:6" x14ac:dyDescent="0.3">
      <c r="B185" s="29">
        <v>45862</v>
      </c>
      <c r="C185" s="10" t="s">
        <v>61</v>
      </c>
      <c r="D185" s="10" t="s">
        <v>86</v>
      </c>
      <c r="E185" s="61"/>
      <c r="F185" s="61">
        <v>2100000</v>
      </c>
    </row>
    <row r="186" spans="2:6" x14ac:dyDescent="0.3">
      <c r="B186" s="29">
        <v>45897</v>
      </c>
      <c r="C186" s="10" t="s">
        <v>61</v>
      </c>
      <c r="D186" s="10" t="s">
        <v>86</v>
      </c>
      <c r="E186" s="61"/>
      <c r="F186" s="61">
        <v>10728634</v>
      </c>
    </row>
    <row r="187" spans="2:6" x14ac:dyDescent="0.3">
      <c r="B187" s="29">
        <v>46007</v>
      </c>
      <c r="C187" s="10" t="s">
        <v>61</v>
      </c>
      <c r="D187" s="10" t="s">
        <v>86</v>
      </c>
      <c r="E187" s="61"/>
      <c r="F187" s="61">
        <v>13137169</v>
      </c>
    </row>
    <row r="188" spans="2:6" x14ac:dyDescent="0.3">
      <c r="B188" s="29">
        <v>46031</v>
      </c>
      <c r="C188" s="10" t="s">
        <v>61</v>
      </c>
      <c r="D188" s="10" t="s">
        <v>86</v>
      </c>
      <c r="E188" s="61"/>
      <c r="F188" s="61">
        <v>4446900</v>
      </c>
    </row>
    <row r="189" spans="2:6" x14ac:dyDescent="0.3">
      <c r="B189" s="29">
        <v>46045</v>
      </c>
      <c r="C189" s="10" t="s">
        <v>61</v>
      </c>
      <c r="D189" s="10" t="s">
        <v>86</v>
      </c>
      <c r="E189" s="61"/>
      <c r="F189" s="61">
        <v>2435315</v>
      </c>
    </row>
    <row r="190" spans="2:6" x14ac:dyDescent="0.3">
      <c r="B190" s="29">
        <v>46060</v>
      </c>
      <c r="C190" s="10" t="s">
        <v>61</v>
      </c>
      <c r="D190" s="10" t="s">
        <v>86</v>
      </c>
      <c r="E190" s="61">
        <v>3088498</v>
      </c>
      <c r="F190" s="61"/>
    </row>
    <row r="191" spans="2:6" x14ac:dyDescent="0.3">
      <c r="B191" s="29">
        <v>46088</v>
      </c>
      <c r="C191" s="10" t="s">
        <v>61</v>
      </c>
      <c r="D191" s="10" t="s">
        <v>86</v>
      </c>
      <c r="E191" s="61">
        <v>3158584</v>
      </c>
      <c r="F191" s="61"/>
    </row>
    <row r="192" spans="2:6" x14ac:dyDescent="0.3">
      <c r="B192" s="29">
        <v>46092</v>
      </c>
      <c r="C192" s="10" t="s">
        <v>61</v>
      </c>
      <c r="D192" s="10" t="s">
        <v>86</v>
      </c>
      <c r="E192" s="61"/>
      <c r="F192" s="61">
        <v>11094000</v>
      </c>
    </row>
    <row r="193" spans="2:6" x14ac:dyDescent="0.3">
      <c r="B193" s="29">
        <v>46099</v>
      </c>
      <c r="C193" s="10" t="s">
        <v>61</v>
      </c>
      <c r="D193" s="10" t="s">
        <v>86</v>
      </c>
      <c r="E193" s="61"/>
      <c r="F193" s="61">
        <v>1838468</v>
      </c>
    </row>
    <row r="194" spans="2:6" x14ac:dyDescent="0.3">
      <c r="B194" s="29">
        <v>46119</v>
      </c>
      <c r="C194" s="10" t="s">
        <v>61</v>
      </c>
      <c r="D194" s="10" t="s">
        <v>86</v>
      </c>
      <c r="E194" s="61">
        <v>3178799</v>
      </c>
      <c r="F194" s="61"/>
    </row>
    <row r="195" spans="2:6" x14ac:dyDescent="0.3">
      <c r="B195" s="29">
        <v>46119</v>
      </c>
      <c r="C195" s="10" t="s">
        <v>61</v>
      </c>
      <c r="D195" s="10" t="s">
        <v>86</v>
      </c>
      <c r="E195" s="61"/>
      <c r="F195" s="61">
        <v>1944891</v>
      </c>
    </row>
    <row r="196" spans="2:6" x14ac:dyDescent="0.3">
      <c r="B196" s="29">
        <v>46127</v>
      </c>
      <c r="C196" s="10" t="s">
        <v>61</v>
      </c>
      <c r="D196" s="10" t="s">
        <v>86</v>
      </c>
      <c r="E196" s="61"/>
      <c r="F196" s="61">
        <v>16386420</v>
      </c>
    </row>
    <row r="197" spans="2:6" x14ac:dyDescent="0.3">
      <c r="B197" s="29">
        <v>46140</v>
      </c>
      <c r="C197" s="10" t="s">
        <v>61</v>
      </c>
      <c r="D197" s="10" t="s">
        <v>86</v>
      </c>
      <c r="E197" s="61"/>
      <c r="F197" s="61">
        <v>594000</v>
      </c>
    </row>
    <row r="198" spans="2:6" x14ac:dyDescent="0.3">
      <c r="B198" s="29">
        <v>46147</v>
      </c>
      <c r="C198" s="10" t="s">
        <v>61</v>
      </c>
      <c r="D198" s="10" t="s">
        <v>86</v>
      </c>
      <c r="E198" s="61"/>
      <c r="F198" s="61">
        <v>1031839</v>
      </c>
    </row>
    <row r="199" spans="2:6" x14ac:dyDescent="0.3">
      <c r="B199" s="29">
        <v>46149</v>
      </c>
      <c r="C199" s="10" t="s">
        <v>61</v>
      </c>
      <c r="D199" s="10" t="s">
        <v>86</v>
      </c>
      <c r="E199" s="61">
        <v>3539226</v>
      </c>
      <c r="F199" s="61"/>
    </row>
    <row r="200" spans="2:6" x14ac:dyDescent="0.3">
      <c r="B200" s="29">
        <v>46164</v>
      </c>
      <c r="C200" s="10" t="s">
        <v>61</v>
      </c>
      <c r="D200" s="10" t="s">
        <v>86</v>
      </c>
      <c r="E200" s="61"/>
      <c r="F200" s="61">
        <v>33506400</v>
      </c>
    </row>
    <row r="201" spans="2:6" x14ac:dyDescent="0.3">
      <c r="B201" s="29">
        <v>46169</v>
      </c>
      <c r="C201" s="10" t="s">
        <v>61</v>
      </c>
      <c r="D201" s="10" t="s">
        <v>86</v>
      </c>
      <c r="E201" s="61"/>
      <c r="F201" s="61">
        <v>4393456</v>
      </c>
    </row>
    <row r="202" spans="2:6" x14ac:dyDescent="0.3">
      <c r="B202" s="29">
        <v>46180</v>
      </c>
      <c r="C202" s="10" t="s">
        <v>61</v>
      </c>
      <c r="D202" s="10" t="s">
        <v>86</v>
      </c>
      <c r="E202" s="61">
        <v>3556933</v>
      </c>
      <c r="F202" s="61"/>
    </row>
    <row r="203" spans="2:6" x14ac:dyDescent="0.3">
      <c r="B203" s="29">
        <v>46188</v>
      </c>
      <c r="C203" s="10" t="s">
        <v>61</v>
      </c>
      <c r="D203" s="10" t="s">
        <v>86</v>
      </c>
      <c r="E203" s="61"/>
      <c r="F203" s="61">
        <v>1550475</v>
      </c>
    </row>
    <row r="204" spans="2:6" x14ac:dyDescent="0.3">
      <c r="B204" s="29">
        <v>46190</v>
      </c>
      <c r="C204" s="10" t="s">
        <v>61</v>
      </c>
      <c r="D204" s="10" t="s">
        <v>86</v>
      </c>
      <c r="E204" s="61"/>
      <c r="F204" s="61">
        <v>1500000</v>
      </c>
    </row>
    <row r="205" spans="2:6" x14ac:dyDescent="0.3">
      <c r="B205" s="29">
        <v>46196</v>
      </c>
      <c r="C205" s="10" t="s">
        <v>61</v>
      </c>
      <c r="D205" s="10" t="s">
        <v>86</v>
      </c>
      <c r="E205" s="61"/>
      <c r="F205" s="61">
        <v>1274189</v>
      </c>
    </row>
    <row r="206" spans="2:6" x14ac:dyDescent="0.3">
      <c r="B206" s="29">
        <v>46210</v>
      </c>
      <c r="C206" s="10" t="s">
        <v>61</v>
      </c>
      <c r="D206" s="10" t="s">
        <v>86</v>
      </c>
      <c r="E206" s="61">
        <v>4084923</v>
      </c>
      <c r="F206" s="61"/>
    </row>
    <row r="207" spans="2:6" x14ac:dyDescent="0.3">
      <c r="B207" s="29"/>
      <c r="C207" s="10"/>
      <c r="D207" s="10"/>
      <c r="E207" s="61"/>
      <c r="F207" s="61"/>
    </row>
    <row r="208" spans="2:6" x14ac:dyDescent="0.3">
      <c r="B208" s="114"/>
      <c r="C208" s="10"/>
      <c r="D208" s="10"/>
      <c r="E208" s="61"/>
      <c r="F208" s="61"/>
    </row>
    <row r="209" spans="2:6" s="12" customFormat="1" x14ac:dyDescent="0.3">
      <c r="B209" s="11"/>
      <c r="C209" s="11" t="s">
        <v>6</v>
      </c>
      <c r="D209" s="11"/>
      <c r="E209" s="154">
        <f>SUM(E163:E206)</f>
        <v>20606963</v>
      </c>
      <c r="F209" s="154">
        <f>SUM(F163:F206)</f>
        <v>336597818</v>
      </c>
    </row>
    <row r="210" spans="2:6" s="12" customFormat="1" x14ac:dyDescent="0.3">
      <c r="B210" s="11"/>
      <c r="C210" s="11" t="s">
        <v>84</v>
      </c>
      <c r="D210" s="11"/>
      <c r="E210" s="154">
        <f>F209-E209</f>
        <v>315990855</v>
      </c>
      <c r="F210" s="154"/>
    </row>
    <row r="211" spans="2:6" s="12" customFormat="1" x14ac:dyDescent="0.3">
      <c r="B211" s="11"/>
      <c r="C211" s="11"/>
      <c r="D211" s="11"/>
      <c r="E211" s="154">
        <f>E209+E210</f>
        <v>336597818</v>
      </c>
      <c r="F211" s="154">
        <f>F209+F210</f>
        <v>336597818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507D-504A-4F43-AD80-AC069DBF9D5E}">
  <dimension ref="B1:G18"/>
  <sheetViews>
    <sheetView zoomScale="115" workbookViewId="0">
      <selection activeCell="G16" sqref="G16"/>
    </sheetView>
  </sheetViews>
  <sheetFormatPr defaultColWidth="8.90625" defaultRowHeight="13" x14ac:dyDescent="0.3"/>
  <cols>
    <col min="1" max="1" width="2.36328125" style="69" customWidth="1"/>
    <col min="2" max="2" width="7.54296875" style="69" bestFit="1" customWidth="1"/>
    <col min="3" max="3" width="32.6328125" style="69" bestFit="1" customWidth="1"/>
    <col min="4" max="4" width="8.08984375" style="69" bestFit="1" customWidth="1"/>
    <col min="5" max="5" width="7.36328125" style="69" bestFit="1" customWidth="1"/>
    <col min="6" max="6" width="8.36328125" style="69" bestFit="1" customWidth="1"/>
    <col min="7" max="7" width="11.6328125" style="69" bestFit="1" customWidth="1"/>
    <col min="8" max="16384" width="8.90625" style="69"/>
  </cols>
  <sheetData>
    <row r="1" spans="2:7" ht="8.4" customHeight="1" x14ac:dyDescent="0.3"/>
    <row r="2" spans="2:7" s="68" customFormat="1" x14ac:dyDescent="0.3">
      <c r="B2" s="68" t="s">
        <v>45</v>
      </c>
    </row>
    <row r="4" spans="2:7" s="68" customFormat="1" x14ac:dyDescent="0.3">
      <c r="B4" s="63" t="s">
        <v>3</v>
      </c>
      <c r="C4" s="63" t="s">
        <v>1</v>
      </c>
      <c r="D4" s="63" t="s">
        <v>39</v>
      </c>
      <c r="E4" s="63" t="s">
        <v>40</v>
      </c>
      <c r="F4" s="63" t="s">
        <v>41</v>
      </c>
      <c r="G4" s="63" t="s">
        <v>42</v>
      </c>
    </row>
    <row r="5" spans="2:7" x14ac:dyDescent="0.3">
      <c r="B5" s="64" t="s">
        <v>540</v>
      </c>
      <c r="C5" s="64" t="s">
        <v>319</v>
      </c>
      <c r="D5" s="64" t="s">
        <v>43</v>
      </c>
      <c r="E5" s="66" t="s">
        <v>314</v>
      </c>
      <c r="F5" s="225">
        <v>14391</v>
      </c>
    </row>
    <row r="6" spans="2:7" x14ac:dyDescent="0.3">
      <c r="B6" s="190">
        <v>45747</v>
      </c>
      <c r="C6" s="64" t="s">
        <v>537</v>
      </c>
      <c r="D6" s="64" t="s">
        <v>86</v>
      </c>
      <c r="E6" s="66" t="s">
        <v>314</v>
      </c>
      <c r="F6" s="64">
        <v>10000</v>
      </c>
      <c r="G6" s="67"/>
    </row>
    <row r="7" spans="2:7" x14ac:dyDescent="0.3">
      <c r="B7" s="190">
        <v>45748</v>
      </c>
      <c r="C7" s="64" t="s">
        <v>412</v>
      </c>
      <c r="D7" s="64" t="s">
        <v>43</v>
      </c>
      <c r="E7" s="66" t="s">
        <v>314</v>
      </c>
      <c r="F7" s="64"/>
      <c r="G7" s="67">
        <v>14833</v>
      </c>
    </row>
    <row r="8" spans="2:7" x14ac:dyDescent="0.3">
      <c r="B8" s="190">
        <v>45748</v>
      </c>
      <c r="C8" s="64" t="s">
        <v>412</v>
      </c>
      <c r="D8" s="64" t="s">
        <v>43</v>
      </c>
      <c r="E8" s="66" t="s">
        <v>314</v>
      </c>
      <c r="F8" s="64"/>
      <c r="G8" s="67">
        <v>10240</v>
      </c>
    </row>
    <row r="9" spans="2:7" x14ac:dyDescent="0.3">
      <c r="B9" s="190">
        <v>45873</v>
      </c>
      <c r="C9" s="64" t="s">
        <v>292</v>
      </c>
      <c r="D9" s="64" t="s">
        <v>43</v>
      </c>
      <c r="E9" s="66" t="s">
        <v>314</v>
      </c>
      <c r="F9" s="64"/>
      <c r="G9" s="67">
        <v>991</v>
      </c>
    </row>
    <row r="10" spans="2:7" x14ac:dyDescent="0.3">
      <c r="B10" s="190">
        <v>45912</v>
      </c>
      <c r="C10" s="64" t="s">
        <v>398</v>
      </c>
      <c r="D10" s="64" t="s">
        <v>43</v>
      </c>
      <c r="E10" s="66" t="s">
        <v>314</v>
      </c>
      <c r="F10" s="64"/>
      <c r="G10" s="67">
        <v>46715</v>
      </c>
    </row>
    <row r="11" spans="2:7" x14ac:dyDescent="0.3">
      <c r="B11" s="190">
        <v>45934</v>
      </c>
      <c r="C11" s="64" t="s">
        <v>538</v>
      </c>
      <c r="D11" s="64" t="s">
        <v>86</v>
      </c>
      <c r="E11" s="66" t="s">
        <v>314</v>
      </c>
      <c r="F11" s="64"/>
      <c r="G11" s="67">
        <v>100</v>
      </c>
    </row>
    <row r="12" spans="2:7" x14ac:dyDescent="0.3">
      <c r="B12" s="190">
        <v>45957</v>
      </c>
      <c r="C12" s="64" t="s">
        <v>339</v>
      </c>
      <c r="D12" s="64" t="s">
        <v>43</v>
      </c>
      <c r="E12" s="66" t="s">
        <v>314</v>
      </c>
      <c r="F12" s="64"/>
      <c r="G12" s="67">
        <v>1614</v>
      </c>
    </row>
    <row r="13" spans="2:7" x14ac:dyDescent="0.3">
      <c r="B13" s="190">
        <v>46112</v>
      </c>
      <c r="C13" s="64" t="s">
        <v>539</v>
      </c>
      <c r="D13" s="64" t="s">
        <v>86</v>
      </c>
      <c r="E13" s="66" t="s">
        <v>314</v>
      </c>
      <c r="F13" s="64">
        <v>41000</v>
      </c>
      <c r="G13" s="67"/>
    </row>
    <row r="14" spans="2:7" x14ac:dyDescent="0.3">
      <c r="B14" s="190">
        <v>46112</v>
      </c>
      <c r="C14" s="64" t="s">
        <v>391</v>
      </c>
      <c r="D14" s="64" t="s">
        <v>86</v>
      </c>
      <c r="E14" s="66" t="s">
        <v>314</v>
      </c>
      <c r="F14" s="64">
        <v>618.91</v>
      </c>
      <c r="G14" s="67"/>
    </row>
    <row r="15" spans="2:7" x14ac:dyDescent="0.3">
      <c r="C15" s="324" t="s">
        <v>137</v>
      </c>
      <c r="D15" s="65"/>
      <c r="E15" s="325"/>
      <c r="F15" s="65">
        <f>SUM(F5:F14)</f>
        <v>66009.91</v>
      </c>
      <c r="G15" s="65">
        <f>SUM(G5:G14)</f>
        <v>74493</v>
      </c>
    </row>
    <row r="16" spans="2:7" s="68" customFormat="1" x14ac:dyDescent="0.3">
      <c r="B16" s="65"/>
      <c r="C16" s="65" t="s">
        <v>593</v>
      </c>
      <c r="D16" s="65"/>
      <c r="E16" s="65"/>
      <c r="F16" s="65"/>
      <c r="G16" s="112">
        <f>G15-F15</f>
        <v>8483.0899999999965</v>
      </c>
    </row>
    <row r="17" spans="6:7" x14ac:dyDescent="0.3">
      <c r="F17" s="225"/>
    </row>
    <row r="18" spans="6:7" x14ac:dyDescent="0.3">
      <c r="G18" s="323"/>
    </row>
  </sheetData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75CD7-1375-496C-AF6C-3B2703BFE0CD}">
  <dimension ref="A3:C40"/>
  <sheetViews>
    <sheetView zoomScaleNormal="100" workbookViewId="0">
      <selection activeCell="A4" sqref="A4"/>
    </sheetView>
  </sheetViews>
  <sheetFormatPr defaultRowHeight="14.5" x14ac:dyDescent="0.35"/>
  <cols>
    <col min="1" max="1" width="35.36328125" bestFit="1" customWidth="1"/>
    <col min="2" max="2" width="14.6328125" bestFit="1" customWidth="1"/>
  </cols>
  <sheetData>
    <row r="3" spans="1:3" s="3" customFormat="1" x14ac:dyDescent="0.35">
      <c r="A3" s="2" t="s">
        <v>94</v>
      </c>
      <c r="B3" s="2" t="s">
        <v>96</v>
      </c>
    </row>
    <row r="4" spans="1:3" x14ac:dyDescent="0.35">
      <c r="A4" s="1" t="s">
        <v>7</v>
      </c>
      <c r="B4" s="4">
        <v>1820679</v>
      </c>
    </row>
    <row r="5" spans="1:3" x14ac:dyDescent="0.35">
      <c r="A5" s="1" t="s">
        <v>26</v>
      </c>
      <c r="B5" s="4">
        <v>1031500</v>
      </c>
    </row>
    <row r="6" spans="1:3" x14ac:dyDescent="0.35">
      <c r="A6" s="1" t="s">
        <v>27</v>
      </c>
      <c r="B6" s="4">
        <v>10467000</v>
      </c>
    </row>
    <row r="7" spans="1:3" x14ac:dyDescent="0.35">
      <c r="A7" s="1" t="s">
        <v>28</v>
      </c>
      <c r="B7" s="4">
        <v>1924634</v>
      </c>
    </row>
    <row r="8" spans="1:3" x14ac:dyDescent="0.35">
      <c r="A8" s="1" t="s">
        <v>29</v>
      </c>
      <c r="B8" s="4">
        <v>153183.54999999999</v>
      </c>
    </row>
    <row r="9" spans="1:3" x14ac:dyDescent="0.35">
      <c r="A9" s="1" t="s">
        <v>30</v>
      </c>
      <c r="B9" s="4">
        <v>47665746</v>
      </c>
    </row>
    <row r="10" spans="1:3" x14ac:dyDescent="0.35">
      <c r="A10" s="6" t="s">
        <v>80</v>
      </c>
      <c r="B10" s="7">
        <v>12500</v>
      </c>
    </row>
    <row r="11" spans="1:3" x14ac:dyDescent="0.35">
      <c r="A11" s="1" t="s">
        <v>72</v>
      </c>
      <c r="B11" s="4">
        <v>729786.54</v>
      </c>
    </row>
    <row r="12" spans="1:3" x14ac:dyDescent="0.35">
      <c r="A12" s="6" t="s">
        <v>69</v>
      </c>
      <c r="B12" s="7">
        <v>9558</v>
      </c>
      <c r="C12" t="s">
        <v>100</v>
      </c>
    </row>
    <row r="13" spans="1:3" x14ac:dyDescent="0.35">
      <c r="A13" s="6" t="s">
        <v>81</v>
      </c>
      <c r="B13" s="7">
        <v>20000</v>
      </c>
      <c r="C13" t="s">
        <v>99</v>
      </c>
    </row>
    <row r="14" spans="1:3" x14ac:dyDescent="0.35">
      <c r="A14" s="6" t="s">
        <v>24</v>
      </c>
      <c r="B14" s="7">
        <v>10658686</v>
      </c>
      <c r="C14" t="s">
        <v>103</v>
      </c>
    </row>
    <row r="15" spans="1:3" x14ac:dyDescent="0.35">
      <c r="A15" s="1" t="s">
        <v>31</v>
      </c>
      <c r="B15" s="4">
        <v>2000000</v>
      </c>
    </row>
    <row r="16" spans="1:3" x14ac:dyDescent="0.35">
      <c r="A16" s="1" t="s">
        <v>32</v>
      </c>
      <c r="B16" s="4">
        <v>24156684</v>
      </c>
    </row>
    <row r="17" spans="1:3" x14ac:dyDescent="0.35">
      <c r="A17" s="6" t="s">
        <v>68</v>
      </c>
      <c r="B17" s="7">
        <v>2851442</v>
      </c>
      <c r="C17" t="s">
        <v>102</v>
      </c>
    </row>
    <row r="18" spans="1:3" x14ac:dyDescent="0.35">
      <c r="A18" s="1" t="s">
        <v>75</v>
      </c>
      <c r="B18" s="4">
        <v>2002000</v>
      </c>
    </row>
    <row r="19" spans="1:3" x14ac:dyDescent="0.35">
      <c r="A19" s="6" t="s">
        <v>58</v>
      </c>
      <c r="B19" s="7">
        <v>1965104</v>
      </c>
      <c r="C19" t="s">
        <v>100</v>
      </c>
    </row>
    <row r="20" spans="1:3" x14ac:dyDescent="0.35">
      <c r="A20" s="6" t="s">
        <v>55</v>
      </c>
      <c r="B20" s="7">
        <v>7835574</v>
      </c>
      <c r="C20" t="s">
        <v>100</v>
      </c>
    </row>
    <row r="21" spans="1:3" x14ac:dyDescent="0.35">
      <c r="A21" s="1" t="s">
        <v>76</v>
      </c>
      <c r="B21" s="4">
        <v>442500</v>
      </c>
    </row>
    <row r="22" spans="1:3" x14ac:dyDescent="0.35">
      <c r="A22" s="6" t="s">
        <v>25</v>
      </c>
      <c r="B22" s="7">
        <v>58551</v>
      </c>
    </row>
    <row r="23" spans="1:3" x14ac:dyDescent="0.35">
      <c r="A23" s="6" t="s">
        <v>90</v>
      </c>
      <c r="B23" s="7">
        <v>132655</v>
      </c>
      <c r="C23" t="s">
        <v>101</v>
      </c>
    </row>
    <row r="24" spans="1:3" x14ac:dyDescent="0.35">
      <c r="A24" s="1" t="s">
        <v>74</v>
      </c>
      <c r="B24" s="4">
        <v>6961237.3300000001</v>
      </c>
    </row>
    <row r="25" spans="1:3" x14ac:dyDescent="0.35">
      <c r="A25" s="6" t="s">
        <v>92</v>
      </c>
      <c r="B25" s="7">
        <v>29500</v>
      </c>
    </row>
    <row r="26" spans="1:3" x14ac:dyDescent="0.35">
      <c r="A26" s="1" t="s">
        <v>33</v>
      </c>
      <c r="B26" s="4">
        <v>10000000</v>
      </c>
    </row>
    <row r="27" spans="1:3" x14ac:dyDescent="0.35">
      <c r="A27" s="1" t="s">
        <v>59</v>
      </c>
      <c r="B27" s="4">
        <v>7200000</v>
      </c>
    </row>
    <row r="28" spans="1:3" x14ac:dyDescent="0.35">
      <c r="A28" s="1" t="s">
        <v>77</v>
      </c>
      <c r="B28" s="4">
        <v>487627</v>
      </c>
    </row>
    <row r="29" spans="1:3" x14ac:dyDescent="0.35">
      <c r="A29" s="1" t="s">
        <v>63</v>
      </c>
      <c r="B29" s="4">
        <v>1614122.03</v>
      </c>
    </row>
    <row r="30" spans="1:3" x14ac:dyDescent="0.35">
      <c r="A30" s="1" t="s">
        <v>64</v>
      </c>
      <c r="B30" s="4">
        <v>350734</v>
      </c>
    </row>
    <row r="31" spans="1:3" x14ac:dyDescent="0.35">
      <c r="A31" s="1" t="s">
        <v>34</v>
      </c>
      <c r="B31" s="4">
        <v>482800</v>
      </c>
    </row>
    <row r="32" spans="1:3" x14ac:dyDescent="0.35">
      <c r="A32" s="1" t="s">
        <v>93</v>
      </c>
      <c r="B32" s="4">
        <v>29972</v>
      </c>
    </row>
    <row r="33" spans="1:3" x14ac:dyDescent="0.35">
      <c r="A33" s="1" t="s">
        <v>65</v>
      </c>
      <c r="B33" s="4">
        <v>11798500</v>
      </c>
    </row>
    <row r="34" spans="1:3" x14ac:dyDescent="0.35">
      <c r="A34" s="1" t="s">
        <v>78</v>
      </c>
      <c r="B34" s="4">
        <v>1152123</v>
      </c>
    </row>
    <row r="35" spans="1:3" x14ac:dyDescent="0.35">
      <c r="A35" s="6" t="s">
        <v>66</v>
      </c>
      <c r="B35" s="7">
        <v>2920205</v>
      </c>
      <c r="C35" t="s">
        <v>102</v>
      </c>
    </row>
    <row r="36" spans="1:3" x14ac:dyDescent="0.35">
      <c r="A36" s="6" t="s">
        <v>79</v>
      </c>
      <c r="B36" s="7">
        <v>52864</v>
      </c>
    </row>
    <row r="37" spans="1:3" x14ac:dyDescent="0.35">
      <c r="A37" s="6" t="s">
        <v>67</v>
      </c>
      <c r="B37" s="7">
        <v>2053200</v>
      </c>
      <c r="C37" t="s">
        <v>102</v>
      </c>
    </row>
    <row r="38" spans="1:3" x14ac:dyDescent="0.35">
      <c r="A38" s="1" t="s">
        <v>73</v>
      </c>
      <c r="B38" s="4">
        <v>1556999.75</v>
      </c>
    </row>
    <row r="39" spans="1:3" x14ac:dyDescent="0.35">
      <c r="A39" s="1" t="s">
        <v>91</v>
      </c>
      <c r="B39" s="4">
        <v>277340.09000000003</v>
      </c>
    </row>
    <row r="40" spans="1:3" s="3" customFormat="1" x14ac:dyDescent="0.35">
      <c r="A40" s="2" t="s">
        <v>95</v>
      </c>
      <c r="B40" s="5">
        <f>SUM(B3:B39)</f>
        <v>162905007.29000002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 Sheet</vt:lpstr>
      <vt:lpstr>A</vt:lpstr>
      <vt:lpstr>B</vt:lpstr>
      <vt:lpstr>C</vt:lpstr>
      <vt:lpstr>D</vt:lpstr>
      <vt:lpstr>E</vt:lpstr>
      <vt:lpstr>F</vt:lpstr>
      <vt:lpstr>N</vt:lpstr>
      <vt:lpstr>G</vt:lpstr>
      <vt:lpstr>H</vt:lpstr>
      <vt:lpstr>H1</vt:lpstr>
      <vt:lpstr>I</vt:lpstr>
      <vt:lpstr>I1</vt:lpstr>
      <vt:lpstr>J</vt:lpstr>
      <vt:lpstr>K</vt:lpstr>
      <vt:lpstr>L</vt:lpstr>
      <vt:lpstr>M</vt:lpstr>
      <vt:lpstr>F1(PARTY ADVANCE)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Shadab</cp:lastModifiedBy>
  <cp:lastPrinted>2025-11-10T12:49:38Z</cp:lastPrinted>
  <dcterms:created xsi:type="dcterms:W3CDTF">2015-06-05T18:17:20Z</dcterms:created>
  <dcterms:modified xsi:type="dcterms:W3CDTF">2026-07-20T10:12:24Z</dcterms:modified>
</cp:coreProperties>
</file>